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ram.barr_cas" sheetId="1" r:id="rId4"/>
  </sheets>
  <definedNames/>
  <calcPr/>
  <extLst>
    <ext uri="GoogleSheetsCustomDataVersion2">
      <go:sheetsCustomData xmlns:go="http://customooxmlschemas.google.com/" r:id="rId5" roundtripDataChecksum="D0GCy0TeUH+g4JkqYkahC4OUQreRqbsvIbTIGMhUhWA="/>
    </ext>
  </extLst>
</workbook>
</file>

<file path=xl/sharedStrings.xml><?xml version="1.0" encoding="utf-8"?>
<sst xmlns="http://schemas.openxmlformats.org/spreadsheetml/2006/main" count="46" uniqueCount="31">
  <si>
    <r>
      <rPr>
        <rFont val="Arial"/>
        <color theme="1"/>
        <sz val="12.0"/>
        <u/>
      </rPr>
      <t>2.4</t>
    </r>
    <r>
      <rPr>
        <rFont val="Arial"/>
        <color theme="1"/>
        <sz val="11.0"/>
        <u/>
      </rPr>
      <t xml:space="preserve"> Pirámides de población por barrios.2011</t>
    </r>
  </si>
  <si>
    <t xml:space="preserve"> Distrito 2. URIBARRI</t>
  </si>
  <si>
    <t xml:space="preserve"> EDAD</t>
  </si>
  <si>
    <t>BEGOÑAIBARRA CASTAÑOS</t>
  </si>
  <si>
    <t>MATIKO-CIUDAD JARDIN</t>
  </si>
  <si>
    <t>URIBARRI</t>
  </si>
  <si>
    <t>ZURBARAN-ARABELLA</t>
  </si>
  <si>
    <t>DISEMINADO</t>
  </si>
  <si>
    <t>DISTRITO 2 URIBARRI</t>
  </si>
  <si>
    <t>Hombres</t>
  </si>
  <si>
    <t>Mujeres</t>
  </si>
  <si>
    <t>Total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</si>
  <si>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</si>
  <si>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</si>
  <si>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</si>
  <si>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</si>
  <si>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</si>
  <si>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</si>
  <si>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</si>
  <si>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</si>
  <si>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</si>
  <si>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</si>
  <si>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</si>
  <si>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</si>
  <si>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</si>
  <si>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</si>
  <si>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</si>
  <si>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</si>
  <si>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</si>
  <si>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y más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</si>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</sst>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sz val="12.0"/>
      <color theme="1"/>
      <name val="Arial"/>
    </font>
    <font>
      <u/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8.0"/>
      <color rgb="FF000000"/>
      <name val="Arial"/>
    </font>
    <font/>
    <font>
      <sz val="8.0"/>
      <color theme="1"/>
      <name val="Arial"/>
    </font>
    <font>
      <b/>
      <sz val="9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4" numFmtId="0" xfId="0" applyAlignment="1" applyBorder="1" applyFon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4" numFmtId="1" xfId="0" applyAlignment="1" applyBorder="1" applyFont="1" applyNumberFormat="1">
      <alignment horizontal="center" shrinkToFit="0" vertical="bottom" wrapText="0"/>
    </xf>
    <xf borderId="2" fillId="0" fontId="4" numFmtId="3" xfId="0" applyAlignment="1" applyBorder="1" applyFont="1" applyNumberFormat="1">
      <alignment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4" fillId="0" fontId="4" numFmtId="3" xfId="0" applyAlignment="1" applyBorder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10" fillId="0" fontId="4" numFmtId="3" xfId="0" applyAlignment="1" applyBorder="1" applyFont="1" applyNumberFormat="1">
      <alignment shrinkToFit="0" vertical="bottom" wrapText="0"/>
    </xf>
    <xf borderId="11" fillId="0" fontId="4" numFmtId="3" xfId="0" applyAlignment="1" applyBorder="1" applyFont="1" applyNumberFormat="1">
      <alignment shrinkToFit="0" vertical="bottom" wrapText="0"/>
    </xf>
    <xf borderId="9" fillId="0" fontId="7" numFmtId="1" xfId="0" applyAlignment="1" applyBorder="1" applyFont="1" applyNumberFormat="1">
      <alignment horizontal="center" shrinkToFit="1" vertical="center" wrapText="0"/>
    </xf>
    <xf borderId="10" fillId="0" fontId="4" numFmtId="3" xfId="0" applyAlignment="1" applyBorder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11" fillId="0" fontId="4" numFmtId="3" xfId="0" applyAlignment="1" applyBorder="1" applyFont="1" applyNumberFormat="1">
      <alignment shrinkToFit="0" vertical="center" wrapText="0"/>
    </xf>
    <xf borderId="5" fillId="0" fontId="7" numFmtId="0" xfId="0" applyAlignment="1" applyBorder="1" applyFont="1">
      <alignment horizontal="center" shrinkToFit="0" vertical="center" wrapText="1"/>
    </xf>
    <xf borderId="6" fillId="0" fontId="8" numFmtId="3" xfId="0" applyAlignment="1" applyBorder="1" applyFont="1" applyNumberFormat="1">
      <alignment shrinkToFit="0" vertical="bottom" wrapText="0"/>
    </xf>
    <xf borderId="7" fillId="0" fontId="8" numFmtId="3" xfId="0" applyAlignment="1" applyBorder="1" applyFont="1" applyNumberFormat="1">
      <alignment shrinkToFit="0" vertical="bottom" wrapText="0"/>
    </xf>
    <xf borderId="8" fillId="0" fontId="8" numFmtId="3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3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9.25"/>
    <col customWidth="1" min="3" max="4" width="6.5"/>
    <col customWidth="1" min="5" max="5" width="16.75"/>
    <col customWidth="1" min="6" max="7" width="6.5"/>
    <col customWidth="1" min="8" max="8" width="7.38"/>
    <col customWidth="1" min="9" max="10" width="6.5"/>
    <col customWidth="1" min="11" max="11" width="15.63"/>
    <col customWidth="1" min="12" max="13" width="6.5"/>
    <col customWidth="1" min="14" max="14" width="9.5"/>
    <col customWidth="1" min="15" max="16" width="6.5"/>
    <col customWidth="1" min="17" max="17" width="15.0"/>
    <col customWidth="1" min="18" max="22" width="6.5"/>
    <col customWidth="1" min="23" max="23" width="5.38"/>
    <col customWidth="1" min="24" max="39" width="10.0"/>
  </cols>
  <sheetData>
    <row r="1" ht="12.75" customHeight="1">
      <c r="A1" s="1" t="s">
        <v>0</v>
      </c>
    </row>
    <row r="2" ht="7.5" customHeight="1"/>
    <row r="3" ht="12.0" customHeight="1">
      <c r="A3" s="2" t="s">
        <v>1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31.5" customHeight="1">
      <c r="A4" s="5" t="s">
        <v>2</v>
      </c>
      <c r="B4" s="6" t="s">
        <v>3</v>
      </c>
      <c r="C4" s="7"/>
      <c r="D4" s="8"/>
      <c r="E4" s="6" t="s">
        <v>4</v>
      </c>
      <c r="F4" s="7"/>
      <c r="G4" s="8"/>
      <c r="H4" s="6" t="s">
        <v>5</v>
      </c>
      <c r="I4" s="7"/>
      <c r="J4" s="8"/>
      <c r="K4" s="6" t="s">
        <v>6</v>
      </c>
      <c r="L4" s="7"/>
      <c r="M4" s="8"/>
      <c r="N4" s="6" t="s">
        <v>7</v>
      </c>
      <c r="O4" s="7"/>
      <c r="P4" s="8"/>
      <c r="Q4" s="6" t="s">
        <v>8</v>
      </c>
      <c r="R4" s="7"/>
      <c r="S4" s="8"/>
    </row>
    <row r="5" ht="21.0" customHeight="1">
      <c r="A5" s="9"/>
      <c r="B5" s="10" t="s">
        <v>9</v>
      </c>
      <c r="C5" s="11" t="s">
        <v>10</v>
      </c>
      <c r="D5" s="12" t="s">
        <v>11</v>
      </c>
      <c r="E5" s="10" t="s">
        <v>9</v>
      </c>
      <c r="F5" s="11" t="s">
        <v>10</v>
      </c>
      <c r="G5" s="12" t="s">
        <v>11</v>
      </c>
      <c r="H5" s="10" t="s">
        <v>9</v>
      </c>
      <c r="I5" s="11" t="s">
        <v>10</v>
      </c>
      <c r="J5" s="12" t="s">
        <v>11</v>
      </c>
      <c r="K5" s="10" t="s">
        <v>9</v>
      </c>
      <c r="L5" s="11" t="s">
        <v>10</v>
      </c>
      <c r="M5" s="12" t="s">
        <v>11</v>
      </c>
      <c r="N5" s="10" t="s">
        <v>9</v>
      </c>
      <c r="O5" s="11" t="s">
        <v>10</v>
      </c>
      <c r="P5" s="12" t="s">
        <v>11</v>
      </c>
      <c r="Q5" s="10" t="s">
        <v>9</v>
      </c>
      <c r="R5" s="11" t="s">
        <v>10</v>
      </c>
      <c r="S5" s="12" t="s">
        <v>11</v>
      </c>
    </row>
    <row r="6" ht="11.25" customHeight="1">
      <c r="A6" s="13" t="s">
        <v>12</v>
      </c>
      <c r="B6" s="14">
        <v>98.0</v>
      </c>
      <c r="C6" s="15">
        <v>87.0</v>
      </c>
      <c r="D6" s="16">
        <f t="shared" ref="D6:D23" si="2">B6+C6</f>
        <v>185</v>
      </c>
      <c r="E6" s="17">
        <v>90.0</v>
      </c>
      <c r="F6" s="17">
        <v>93.0</v>
      </c>
      <c r="G6" s="16">
        <f t="shared" ref="G6:G23" si="3">E6+F6</f>
        <v>183</v>
      </c>
      <c r="H6" s="14">
        <v>258.0</v>
      </c>
      <c r="I6" s="15">
        <v>244.0</v>
      </c>
      <c r="J6" s="16">
        <f t="shared" ref="J6:J23" si="4">H6+I6</f>
        <v>502</v>
      </c>
      <c r="K6" s="14">
        <v>213.0</v>
      </c>
      <c r="L6" s="15">
        <v>193.0</v>
      </c>
      <c r="M6" s="16">
        <f t="shared" ref="M6:M23" si="5">K6+L6</f>
        <v>406</v>
      </c>
      <c r="N6" s="14">
        <v>3.0</v>
      </c>
      <c r="O6" s="15">
        <v>6.0</v>
      </c>
      <c r="P6" s="16">
        <f t="shared" ref="P6:P23" si="6">N6+O6</f>
        <v>9</v>
      </c>
      <c r="Q6" s="14">
        <f t="shared" ref="Q6:R6" si="1">B6+E6+H6+K6+N6</f>
        <v>662</v>
      </c>
      <c r="R6" s="15">
        <f t="shared" si="1"/>
        <v>623</v>
      </c>
      <c r="S6" s="16">
        <f t="shared" ref="S6:S23" si="8">Q6+R6</f>
        <v>1285</v>
      </c>
    </row>
    <row r="7" ht="11.25" customHeight="1">
      <c r="A7" s="13" t="s">
        <v>13</v>
      </c>
      <c r="B7" s="18">
        <v>122.0</v>
      </c>
      <c r="C7" s="17">
        <v>120.0</v>
      </c>
      <c r="D7" s="19">
        <f t="shared" si="2"/>
        <v>242</v>
      </c>
      <c r="E7" s="17">
        <v>123.0</v>
      </c>
      <c r="F7" s="17">
        <v>114.0</v>
      </c>
      <c r="G7" s="19">
        <f t="shared" si="3"/>
        <v>237</v>
      </c>
      <c r="H7" s="18">
        <v>217.0</v>
      </c>
      <c r="I7" s="17">
        <v>229.0</v>
      </c>
      <c r="J7" s="19">
        <f t="shared" si="4"/>
        <v>446</v>
      </c>
      <c r="K7" s="18">
        <v>240.0</v>
      </c>
      <c r="L7" s="17">
        <v>220.0</v>
      </c>
      <c r="M7" s="19">
        <f t="shared" si="5"/>
        <v>460</v>
      </c>
      <c r="N7" s="18">
        <v>2.0</v>
      </c>
      <c r="O7" s="17">
        <v>4.0</v>
      </c>
      <c r="P7" s="19">
        <f t="shared" si="6"/>
        <v>6</v>
      </c>
      <c r="Q7" s="18">
        <f t="shared" ref="Q7:R7" si="7">B7+E7+H7+K7+N7</f>
        <v>704</v>
      </c>
      <c r="R7" s="17">
        <f t="shared" si="7"/>
        <v>687</v>
      </c>
      <c r="S7" s="19">
        <f t="shared" si="8"/>
        <v>1391</v>
      </c>
    </row>
    <row r="8" ht="11.25" customHeight="1">
      <c r="A8" s="13" t="s">
        <v>14</v>
      </c>
      <c r="B8" s="18">
        <v>129.0</v>
      </c>
      <c r="C8" s="17">
        <v>139.0</v>
      </c>
      <c r="D8" s="19">
        <f t="shared" si="2"/>
        <v>268</v>
      </c>
      <c r="E8" s="17">
        <v>125.0</v>
      </c>
      <c r="F8" s="17">
        <v>107.0</v>
      </c>
      <c r="G8" s="19">
        <f t="shared" si="3"/>
        <v>232</v>
      </c>
      <c r="H8" s="18">
        <v>209.0</v>
      </c>
      <c r="I8" s="17">
        <v>213.0</v>
      </c>
      <c r="J8" s="19">
        <f t="shared" si="4"/>
        <v>422</v>
      </c>
      <c r="K8" s="18">
        <v>185.0</v>
      </c>
      <c r="L8" s="17">
        <v>189.0</v>
      </c>
      <c r="M8" s="19">
        <f t="shared" si="5"/>
        <v>374</v>
      </c>
      <c r="N8" s="18">
        <v>6.0</v>
      </c>
      <c r="O8" s="17">
        <v>5.0</v>
      </c>
      <c r="P8" s="19">
        <f t="shared" si="6"/>
        <v>11</v>
      </c>
      <c r="Q8" s="18">
        <f t="shared" ref="Q8:R8" si="9">B8+E8+H8+K8+N8</f>
        <v>654</v>
      </c>
      <c r="R8" s="17">
        <f t="shared" si="9"/>
        <v>653</v>
      </c>
      <c r="S8" s="19">
        <f t="shared" si="8"/>
        <v>1307</v>
      </c>
    </row>
    <row r="9" ht="11.25" customHeight="1">
      <c r="A9" s="13" t="s">
        <v>15</v>
      </c>
      <c r="B9" s="18">
        <v>132.0</v>
      </c>
      <c r="C9" s="17">
        <v>123.0</v>
      </c>
      <c r="D9" s="19">
        <f t="shared" si="2"/>
        <v>255</v>
      </c>
      <c r="E9" s="17">
        <v>112.0</v>
      </c>
      <c r="F9" s="17">
        <v>101.0</v>
      </c>
      <c r="G9" s="19">
        <f t="shared" si="3"/>
        <v>213</v>
      </c>
      <c r="H9" s="18">
        <v>198.0</v>
      </c>
      <c r="I9" s="17">
        <v>178.0</v>
      </c>
      <c r="J9" s="19">
        <f t="shared" si="4"/>
        <v>376</v>
      </c>
      <c r="K9" s="18">
        <v>189.0</v>
      </c>
      <c r="L9" s="17">
        <v>199.0</v>
      </c>
      <c r="M9" s="19">
        <f t="shared" si="5"/>
        <v>388</v>
      </c>
      <c r="N9" s="18">
        <v>5.0</v>
      </c>
      <c r="O9" s="17">
        <v>5.0</v>
      </c>
      <c r="P9" s="19">
        <f t="shared" si="6"/>
        <v>10</v>
      </c>
      <c r="Q9" s="18">
        <f t="shared" ref="Q9:R9" si="10">B9+E9+H9+K9+N9</f>
        <v>636</v>
      </c>
      <c r="R9" s="17">
        <f t="shared" si="10"/>
        <v>606</v>
      </c>
      <c r="S9" s="19">
        <f t="shared" si="8"/>
        <v>1242</v>
      </c>
    </row>
    <row r="10" ht="11.25" customHeight="1">
      <c r="A10" s="13" t="s">
        <v>16</v>
      </c>
      <c r="B10" s="18">
        <v>112.0</v>
      </c>
      <c r="C10" s="17">
        <v>109.0</v>
      </c>
      <c r="D10" s="19">
        <f t="shared" si="2"/>
        <v>221</v>
      </c>
      <c r="E10" s="17">
        <v>134.0</v>
      </c>
      <c r="F10" s="17">
        <v>139.0</v>
      </c>
      <c r="G10" s="19">
        <f t="shared" si="3"/>
        <v>273</v>
      </c>
      <c r="H10" s="18">
        <v>275.0</v>
      </c>
      <c r="I10" s="17">
        <v>263.0</v>
      </c>
      <c r="J10" s="19">
        <f t="shared" si="4"/>
        <v>538</v>
      </c>
      <c r="K10" s="18">
        <v>257.0</v>
      </c>
      <c r="L10" s="17">
        <v>227.0</v>
      </c>
      <c r="M10" s="19">
        <f t="shared" si="5"/>
        <v>484</v>
      </c>
      <c r="N10" s="18">
        <v>7.0</v>
      </c>
      <c r="O10" s="17">
        <v>5.0</v>
      </c>
      <c r="P10" s="19">
        <f t="shared" si="6"/>
        <v>12</v>
      </c>
      <c r="Q10" s="18">
        <f t="shared" ref="Q10:R10" si="11">B10+E10+H10+K10+N10</f>
        <v>785</v>
      </c>
      <c r="R10" s="17">
        <f t="shared" si="11"/>
        <v>743</v>
      </c>
      <c r="S10" s="19">
        <f t="shared" si="8"/>
        <v>1528</v>
      </c>
    </row>
    <row r="11" ht="11.25" customHeight="1">
      <c r="A11" s="13" t="s">
        <v>17</v>
      </c>
      <c r="B11" s="18">
        <v>145.0</v>
      </c>
      <c r="C11" s="17">
        <v>151.0</v>
      </c>
      <c r="D11" s="19">
        <f t="shared" si="2"/>
        <v>296</v>
      </c>
      <c r="E11" s="17">
        <v>199.0</v>
      </c>
      <c r="F11" s="17">
        <v>208.0</v>
      </c>
      <c r="G11" s="19">
        <f t="shared" si="3"/>
        <v>407</v>
      </c>
      <c r="H11" s="18">
        <v>420.0</v>
      </c>
      <c r="I11" s="17">
        <v>423.0</v>
      </c>
      <c r="J11" s="19">
        <f t="shared" si="4"/>
        <v>843</v>
      </c>
      <c r="K11" s="18">
        <v>309.0</v>
      </c>
      <c r="L11" s="17">
        <v>325.0</v>
      </c>
      <c r="M11" s="19">
        <f t="shared" si="5"/>
        <v>634</v>
      </c>
      <c r="N11" s="18">
        <v>15.0</v>
      </c>
      <c r="O11" s="17">
        <v>3.0</v>
      </c>
      <c r="P11" s="19">
        <f t="shared" si="6"/>
        <v>18</v>
      </c>
      <c r="Q11" s="18">
        <f t="shared" ref="Q11:R11" si="12">B11+E11+H11+K11+N11</f>
        <v>1088</v>
      </c>
      <c r="R11" s="17">
        <f t="shared" si="12"/>
        <v>1110</v>
      </c>
      <c r="S11" s="19">
        <f t="shared" si="8"/>
        <v>2198</v>
      </c>
    </row>
    <row r="12" ht="11.25" customHeight="1">
      <c r="A12" s="13" t="s">
        <v>18</v>
      </c>
      <c r="B12" s="18">
        <v>166.0</v>
      </c>
      <c r="C12" s="17">
        <v>176.0</v>
      </c>
      <c r="D12" s="19">
        <f t="shared" si="2"/>
        <v>342</v>
      </c>
      <c r="E12" s="17">
        <v>252.0</v>
      </c>
      <c r="F12" s="17">
        <v>243.0</v>
      </c>
      <c r="G12" s="19">
        <f t="shared" si="3"/>
        <v>495</v>
      </c>
      <c r="H12" s="18">
        <v>572.0</v>
      </c>
      <c r="I12" s="17">
        <v>563.0</v>
      </c>
      <c r="J12" s="19">
        <f t="shared" si="4"/>
        <v>1135</v>
      </c>
      <c r="K12" s="18">
        <v>479.0</v>
      </c>
      <c r="L12" s="17">
        <v>464.0</v>
      </c>
      <c r="M12" s="19">
        <f t="shared" si="5"/>
        <v>943</v>
      </c>
      <c r="N12" s="18">
        <v>16.0</v>
      </c>
      <c r="O12" s="17">
        <v>8.0</v>
      </c>
      <c r="P12" s="19">
        <f t="shared" si="6"/>
        <v>24</v>
      </c>
      <c r="Q12" s="18">
        <f t="shared" ref="Q12:R12" si="13">B12+E12+H12+K12+N12</f>
        <v>1485</v>
      </c>
      <c r="R12" s="17">
        <f t="shared" si="13"/>
        <v>1454</v>
      </c>
      <c r="S12" s="19">
        <f t="shared" si="8"/>
        <v>2939</v>
      </c>
    </row>
    <row r="13" ht="11.25" customHeight="1">
      <c r="A13" s="13" t="s">
        <v>19</v>
      </c>
      <c r="B13" s="18">
        <v>158.0</v>
      </c>
      <c r="C13" s="17">
        <v>165.0</v>
      </c>
      <c r="D13" s="19">
        <f t="shared" si="2"/>
        <v>323</v>
      </c>
      <c r="E13" s="17">
        <v>247.0</v>
      </c>
      <c r="F13" s="17">
        <v>197.0</v>
      </c>
      <c r="G13" s="19">
        <f t="shared" si="3"/>
        <v>444</v>
      </c>
      <c r="H13" s="18">
        <v>527.0</v>
      </c>
      <c r="I13" s="17">
        <v>525.0</v>
      </c>
      <c r="J13" s="19">
        <f t="shared" si="4"/>
        <v>1052</v>
      </c>
      <c r="K13" s="18">
        <v>505.0</v>
      </c>
      <c r="L13" s="17">
        <v>485.0</v>
      </c>
      <c r="M13" s="19">
        <f t="shared" si="5"/>
        <v>990</v>
      </c>
      <c r="N13" s="18">
        <v>16.0</v>
      </c>
      <c r="O13" s="17">
        <v>13.0</v>
      </c>
      <c r="P13" s="19">
        <f t="shared" si="6"/>
        <v>29</v>
      </c>
      <c r="Q13" s="18">
        <f t="shared" ref="Q13:R13" si="14">B13+E13+H13+K13+N13</f>
        <v>1453</v>
      </c>
      <c r="R13" s="17">
        <f t="shared" si="14"/>
        <v>1385</v>
      </c>
      <c r="S13" s="19">
        <f t="shared" si="8"/>
        <v>2838</v>
      </c>
    </row>
    <row r="14" ht="11.25" customHeight="1">
      <c r="A14" s="13" t="s">
        <v>20</v>
      </c>
      <c r="B14" s="18">
        <v>189.0</v>
      </c>
      <c r="C14" s="17">
        <v>237.0</v>
      </c>
      <c r="D14" s="19">
        <f t="shared" si="2"/>
        <v>426</v>
      </c>
      <c r="E14" s="17">
        <v>240.0</v>
      </c>
      <c r="F14" s="17">
        <v>253.0</v>
      </c>
      <c r="G14" s="19">
        <f t="shared" si="3"/>
        <v>493</v>
      </c>
      <c r="H14" s="18">
        <v>530.0</v>
      </c>
      <c r="I14" s="17">
        <v>489.0</v>
      </c>
      <c r="J14" s="19">
        <f t="shared" si="4"/>
        <v>1019</v>
      </c>
      <c r="K14" s="18">
        <v>432.0</v>
      </c>
      <c r="L14" s="17">
        <v>416.0</v>
      </c>
      <c r="M14" s="19">
        <f t="shared" si="5"/>
        <v>848</v>
      </c>
      <c r="N14" s="18">
        <v>11.0</v>
      </c>
      <c r="O14" s="17">
        <v>4.0</v>
      </c>
      <c r="P14" s="19">
        <f t="shared" si="6"/>
        <v>15</v>
      </c>
      <c r="Q14" s="18">
        <f t="shared" ref="Q14:R14" si="15">B14+E14+H14+K14+N14</f>
        <v>1402</v>
      </c>
      <c r="R14" s="17">
        <f t="shared" si="15"/>
        <v>1399</v>
      </c>
      <c r="S14" s="19">
        <f t="shared" si="8"/>
        <v>2801</v>
      </c>
    </row>
    <row r="15" ht="11.25" customHeight="1">
      <c r="A15" s="13" t="s">
        <v>21</v>
      </c>
      <c r="B15" s="18">
        <v>239.0</v>
      </c>
      <c r="C15" s="17">
        <v>287.0</v>
      </c>
      <c r="D15" s="19">
        <f t="shared" si="2"/>
        <v>526</v>
      </c>
      <c r="E15" s="17">
        <v>257.0</v>
      </c>
      <c r="F15" s="17">
        <v>250.0</v>
      </c>
      <c r="G15" s="19">
        <f t="shared" si="3"/>
        <v>507</v>
      </c>
      <c r="H15" s="18">
        <v>517.0</v>
      </c>
      <c r="I15" s="17">
        <v>543.0</v>
      </c>
      <c r="J15" s="19">
        <f t="shared" si="4"/>
        <v>1060</v>
      </c>
      <c r="K15" s="18">
        <v>425.0</v>
      </c>
      <c r="L15" s="17">
        <v>427.0</v>
      </c>
      <c r="M15" s="19">
        <f t="shared" si="5"/>
        <v>852</v>
      </c>
      <c r="N15" s="18">
        <v>14.0</v>
      </c>
      <c r="O15" s="17">
        <v>12.0</v>
      </c>
      <c r="P15" s="19">
        <f t="shared" si="6"/>
        <v>26</v>
      </c>
      <c r="Q15" s="18">
        <f t="shared" ref="Q15:R15" si="16">B15+E15+H15+K15+N15</f>
        <v>1452</v>
      </c>
      <c r="R15" s="17">
        <f t="shared" si="16"/>
        <v>1519</v>
      </c>
      <c r="S15" s="19">
        <f t="shared" si="8"/>
        <v>2971</v>
      </c>
    </row>
    <row r="16" ht="11.25" customHeight="1">
      <c r="A16" s="13" t="s">
        <v>22</v>
      </c>
      <c r="B16" s="18">
        <v>243.0</v>
      </c>
      <c r="C16" s="17">
        <v>296.0</v>
      </c>
      <c r="D16" s="19">
        <f t="shared" si="2"/>
        <v>539</v>
      </c>
      <c r="E16" s="17">
        <v>225.0</v>
      </c>
      <c r="F16" s="17">
        <v>251.0</v>
      </c>
      <c r="G16" s="19">
        <f t="shared" si="3"/>
        <v>476</v>
      </c>
      <c r="H16" s="18">
        <v>414.0</v>
      </c>
      <c r="I16" s="17">
        <v>453.0</v>
      </c>
      <c r="J16" s="19">
        <f t="shared" si="4"/>
        <v>867</v>
      </c>
      <c r="K16" s="18">
        <v>341.0</v>
      </c>
      <c r="L16" s="17">
        <v>380.0</v>
      </c>
      <c r="M16" s="19">
        <f t="shared" si="5"/>
        <v>721</v>
      </c>
      <c r="N16" s="18">
        <v>8.0</v>
      </c>
      <c r="O16" s="17">
        <v>14.0</v>
      </c>
      <c r="P16" s="19">
        <f t="shared" si="6"/>
        <v>22</v>
      </c>
      <c r="Q16" s="18">
        <f t="shared" ref="Q16:R16" si="17">B16+E16+H16+K16+N16</f>
        <v>1231</v>
      </c>
      <c r="R16" s="17">
        <f t="shared" si="17"/>
        <v>1394</v>
      </c>
      <c r="S16" s="19">
        <f t="shared" si="8"/>
        <v>2625</v>
      </c>
    </row>
    <row r="17" ht="11.25" customHeight="1">
      <c r="A17" s="13" t="s">
        <v>23</v>
      </c>
      <c r="B17" s="18">
        <v>204.0</v>
      </c>
      <c r="C17" s="17">
        <v>230.0</v>
      </c>
      <c r="D17" s="19">
        <f t="shared" si="2"/>
        <v>434</v>
      </c>
      <c r="E17" s="17">
        <v>208.0</v>
      </c>
      <c r="F17" s="17">
        <v>239.0</v>
      </c>
      <c r="G17" s="19">
        <f t="shared" si="3"/>
        <v>447</v>
      </c>
      <c r="H17" s="18">
        <v>370.0</v>
      </c>
      <c r="I17" s="17">
        <v>381.0</v>
      </c>
      <c r="J17" s="19">
        <f t="shared" si="4"/>
        <v>751</v>
      </c>
      <c r="K17" s="18">
        <v>283.0</v>
      </c>
      <c r="L17" s="17">
        <v>371.0</v>
      </c>
      <c r="M17" s="19">
        <f t="shared" si="5"/>
        <v>654</v>
      </c>
      <c r="N17" s="18">
        <v>11.0</v>
      </c>
      <c r="O17" s="17">
        <v>13.0</v>
      </c>
      <c r="P17" s="19">
        <f t="shared" si="6"/>
        <v>24</v>
      </c>
      <c r="Q17" s="18">
        <f t="shared" ref="Q17:R17" si="18">B17+E17+H17+K17+N17</f>
        <v>1076</v>
      </c>
      <c r="R17" s="17">
        <f t="shared" si="18"/>
        <v>1234</v>
      </c>
      <c r="S17" s="19">
        <f t="shared" si="8"/>
        <v>2310</v>
      </c>
    </row>
    <row r="18" ht="11.25" customHeight="1">
      <c r="A18" s="13" t="s">
        <v>24</v>
      </c>
      <c r="B18" s="18">
        <v>182.0</v>
      </c>
      <c r="C18" s="17">
        <v>239.0</v>
      </c>
      <c r="D18" s="19">
        <f t="shared" si="2"/>
        <v>421</v>
      </c>
      <c r="E18" s="17">
        <v>171.0</v>
      </c>
      <c r="F18" s="17">
        <v>190.0</v>
      </c>
      <c r="G18" s="19">
        <f t="shared" si="3"/>
        <v>361</v>
      </c>
      <c r="H18" s="18">
        <v>339.0</v>
      </c>
      <c r="I18" s="17">
        <v>385.0</v>
      </c>
      <c r="J18" s="19">
        <f t="shared" si="4"/>
        <v>724</v>
      </c>
      <c r="K18" s="18">
        <v>385.0</v>
      </c>
      <c r="L18" s="17">
        <v>494.0</v>
      </c>
      <c r="M18" s="19">
        <f t="shared" si="5"/>
        <v>879</v>
      </c>
      <c r="N18" s="18">
        <v>15.0</v>
      </c>
      <c r="O18" s="17">
        <v>14.0</v>
      </c>
      <c r="P18" s="19">
        <f t="shared" si="6"/>
        <v>29</v>
      </c>
      <c r="Q18" s="18">
        <f t="shared" ref="Q18:R18" si="19">B18+E18+H18+K18+N18</f>
        <v>1092</v>
      </c>
      <c r="R18" s="17">
        <f t="shared" si="19"/>
        <v>1322</v>
      </c>
      <c r="S18" s="19">
        <f t="shared" si="8"/>
        <v>2414</v>
      </c>
    </row>
    <row r="19" ht="11.25" customHeight="1">
      <c r="A19" s="13" t="s">
        <v>25</v>
      </c>
      <c r="B19" s="18">
        <v>148.0</v>
      </c>
      <c r="C19" s="17">
        <v>201.0</v>
      </c>
      <c r="D19" s="19">
        <f t="shared" si="2"/>
        <v>349</v>
      </c>
      <c r="E19" s="17">
        <v>130.0</v>
      </c>
      <c r="F19" s="17">
        <v>178.0</v>
      </c>
      <c r="G19" s="19">
        <f t="shared" si="3"/>
        <v>308</v>
      </c>
      <c r="H19" s="18">
        <v>364.0</v>
      </c>
      <c r="I19" s="17">
        <v>475.0</v>
      </c>
      <c r="J19" s="19">
        <f t="shared" si="4"/>
        <v>839</v>
      </c>
      <c r="K19" s="18">
        <v>450.0</v>
      </c>
      <c r="L19" s="17">
        <v>528.0</v>
      </c>
      <c r="M19" s="19">
        <f t="shared" si="5"/>
        <v>978</v>
      </c>
      <c r="N19" s="18">
        <v>19.0</v>
      </c>
      <c r="O19" s="17">
        <v>10.0</v>
      </c>
      <c r="P19" s="19">
        <f t="shared" si="6"/>
        <v>29</v>
      </c>
      <c r="Q19" s="18">
        <f t="shared" ref="Q19:R19" si="20">B19+E19+H19+K19+N19</f>
        <v>1111</v>
      </c>
      <c r="R19" s="17">
        <f t="shared" si="20"/>
        <v>1392</v>
      </c>
      <c r="S19" s="19">
        <f t="shared" si="8"/>
        <v>2503</v>
      </c>
    </row>
    <row r="20" ht="11.25" customHeight="1">
      <c r="A20" s="13" t="s">
        <v>26</v>
      </c>
      <c r="B20" s="18">
        <v>115.0</v>
      </c>
      <c r="C20" s="17">
        <v>166.0</v>
      </c>
      <c r="D20" s="19">
        <f t="shared" si="2"/>
        <v>281</v>
      </c>
      <c r="E20" s="17">
        <v>101.0</v>
      </c>
      <c r="F20" s="17">
        <v>161.0</v>
      </c>
      <c r="G20" s="19">
        <f t="shared" si="3"/>
        <v>262</v>
      </c>
      <c r="H20" s="18">
        <v>325.0</v>
      </c>
      <c r="I20" s="17">
        <v>473.0</v>
      </c>
      <c r="J20" s="19">
        <f t="shared" si="4"/>
        <v>798</v>
      </c>
      <c r="K20" s="18">
        <v>353.0</v>
      </c>
      <c r="L20" s="17">
        <v>400.0</v>
      </c>
      <c r="M20" s="19">
        <f t="shared" si="5"/>
        <v>753</v>
      </c>
      <c r="N20" s="18">
        <v>11.0</v>
      </c>
      <c r="O20" s="17">
        <v>12.0</v>
      </c>
      <c r="P20" s="19">
        <f t="shared" si="6"/>
        <v>23</v>
      </c>
      <c r="Q20" s="18">
        <f t="shared" ref="Q20:R20" si="21">B20+E20+H20+K20+N20</f>
        <v>905</v>
      </c>
      <c r="R20" s="17">
        <f t="shared" si="21"/>
        <v>1212</v>
      </c>
      <c r="S20" s="19">
        <f t="shared" si="8"/>
        <v>2117</v>
      </c>
    </row>
    <row r="21" ht="11.25" customHeight="1">
      <c r="A21" s="13" t="s">
        <v>27</v>
      </c>
      <c r="B21" s="18">
        <v>103.0</v>
      </c>
      <c r="C21" s="17">
        <v>192.0</v>
      </c>
      <c r="D21" s="19">
        <f t="shared" si="2"/>
        <v>295</v>
      </c>
      <c r="E21" s="17">
        <v>139.0</v>
      </c>
      <c r="F21" s="17">
        <v>197.0</v>
      </c>
      <c r="G21" s="19">
        <f t="shared" si="3"/>
        <v>336</v>
      </c>
      <c r="H21" s="18">
        <v>402.0</v>
      </c>
      <c r="I21" s="17">
        <v>464.0</v>
      </c>
      <c r="J21" s="19">
        <f t="shared" si="4"/>
        <v>866</v>
      </c>
      <c r="K21" s="18">
        <v>309.0</v>
      </c>
      <c r="L21" s="17">
        <v>398.0</v>
      </c>
      <c r="M21" s="19">
        <f t="shared" si="5"/>
        <v>707</v>
      </c>
      <c r="N21" s="18">
        <v>7.0</v>
      </c>
      <c r="O21" s="17">
        <v>15.0</v>
      </c>
      <c r="P21" s="19">
        <f t="shared" si="6"/>
        <v>22</v>
      </c>
      <c r="Q21" s="18">
        <f t="shared" ref="Q21:R21" si="22">B21+E21+H21+K21+N21</f>
        <v>960</v>
      </c>
      <c r="R21" s="17">
        <f t="shared" si="22"/>
        <v>1266</v>
      </c>
      <c r="S21" s="19">
        <f t="shared" si="8"/>
        <v>2226</v>
      </c>
    </row>
    <row r="22" ht="11.25" customHeight="1">
      <c r="A22" s="13" t="s">
        <v>28</v>
      </c>
      <c r="B22" s="18">
        <v>81.0</v>
      </c>
      <c r="C22" s="17">
        <v>189.0</v>
      </c>
      <c r="D22" s="19">
        <f t="shared" si="2"/>
        <v>270</v>
      </c>
      <c r="E22" s="17">
        <v>103.0</v>
      </c>
      <c r="F22" s="17">
        <v>180.0</v>
      </c>
      <c r="G22" s="19">
        <f t="shared" si="3"/>
        <v>283</v>
      </c>
      <c r="H22" s="18">
        <v>253.0</v>
      </c>
      <c r="I22" s="17">
        <v>358.0</v>
      </c>
      <c r="J22" s="19">
        <f t="shared" si="4"/>
        <v>611</v>
      </c>
      <c r="K22" s="18">
        <v>194.0</v>
      </c>
      <c r="L22" s="17">
        <v>302.0</v>
      </c>
      <c r="M22" s="19">
        <f t="shared" si="5"/>
        <v>496</v>
      </c>
      <c r="N22" s="18">
        <v>9.0</v>
      </c>
      <c r="O22" s="17">
        <v>24.0</v>
      </c>
      <c r="P22" s="19">
        <f t="shared" si="6"/>
        <v>33</v>
      </c>
      <c r="Q22" s="18">
        <f t="shared" ref="Q22:R22" si="23">B22+E22+H22+K22+N22</f>
        <v>640</v>
      </c>
      <c r="R22" s="17">
        <f t="shared" si="23"/>
        <v>1053</v>
      </c>
      <c r="S22" s="19">
        <f t="shared" si="8"/>
        <v>1693</v>
      </c>
    </row>
    <row r="23" ht="18.75" customHeight="1">
      <c r="A23" s="20" t="s">
        <v>29</v>
      </c>
      <c r="B23" s="21">
        <v>60.0</v>
      </c>
      <c r="C23" s="22">
        <v>217.0</v>
      </c>
      <c r="D23" s="23">
        <f t="shared" si="2"/>
        <v>277</v>
      </c>
      <c r="E23" s="22">
        <v>64.0</v>
      </c>
      <c r="F23" s="22">
        <v>159.0</v>
      </c>
      <c r="G23" s="23">
        <f t="shared" si="3"/>
        <v>223</v>
      </c>
      <c r="H23" s="21">
        <v>137.0</v>
      </c>
      <c r="I23" s="22">
        <v>249.0</v>
      </c>
      <c r="J23" s="23">
        <f t="shared" si="4"/>
        <v>386</v>
      </c>
      <c r="K23" s="21">
        <v>106.0</v>
      </c>
      <c r="L23" s="22">
        <v>258.0</v>
      </c>
      <c r="M23" s="23">
        <f t="shared" si="5"/>
        <v>364</v>
      </c>
      <c r="N23" s="21">
        <v>7.0</v>
      </c>
      <c r="O23" s="22">
        <v>63.0</v>
      </c>
      <c r="P23" s="23">
        <f t="shared" si="6"/>
        <v>70</v>
      </c>
      <c r="Q23" s="21">
        <f t="shared" ref="Q23:R23" si="24">B23+E23+H23+K23+N23</f>
        <v>374</v>
      </c>
      <c r="R23" s="22">
        <f t="shared" si="24"/>
        <v>946</v>
      </c>
      <c r="S23" s="23">
        <f t="shared" si="8"/>
        <v>1320</v>
      </c>
    </row>
    <row r="24" ht="12.0" customHeight="1">
      <c r="A24" s="24" t="s">
        <v>30</v>
      </c>
      <c r="B24" s="25">
        <f t="shared" ref="B24:S24" si="25">SUM(B6:B23)</f>
        <v>2626</v>
      </c>
      <c r="C24" s="26">
        <f t="shared" si="25"/>
        <v>3324</v>
      </c>
      <c r="D24" s="26">
        <f t="shared" si="25"/>
        <v>5950</v>
      </c>
      <c r="E24" s="25">
        <f t="shared" si="25"/>
        <v>2920</v>
      </c>
      <c r="F24" s="26">
        <f t="shared" si="25"/>
        <v>3260</v>
      </c>
      <c r="G24" s="26">
        <f t="shared" si="25"/>
        <v>6180</v>
      </c>
      <c r="H24" s="25">
        <f t="shared" si="25"/>
        <v>6327</v>
      </c>
      <c r="I24" s="26">
        <f t="shared" si="25"/>
        <v>6908</v>
      </c>
      <c r="J24" s="26">
        <f t="shared" si="25"/>
        <v>13235</v>
      </c>
      <c r="K24" s="25">
        <f t="shared" si="25"/>
        <v>5655</v>
      </c>
      <c r="L24" s="26">
        <f t="shared" si="25"/>
        <v>6276</v>
      </c>
      <c r="M24" s="26">
        <f t="shared" si="25"/>
        <v>11931</v>
      </c>
      <c r="N24" s="25">
        <f t="shared" si="25"/>
        <v>182</v>
      </c>
      <c r="O24" s="26">
        <f t="shared" si="25"/>
        <v>230</v>
      </c>
      <c r="P24" s="26">
        <f t="shared" si="25"/>
        <v>412</v>
      </c>
      <c r="Q24" s="25">
        <f t="shared" si="25"/>
        <v>17710</v>
      </c>
      <c r="R24" s="26">
        <f t="shared" si="25"/>
        <v>19998</v>
      </c>
      <c r="S24" s="27">
        <f t="shared" si="25"/>
        <v>37708</v>
      </c>
    </row>
    <row r="25" ht="11.25" customHeight="1">
      <c r="B25" s="17"/>
    </row>
    <row r="26" ht="12.0" customHeight="1"/>
    <row r="27" ht="20.25" customHeight="1"/>
    <row r="28" ht="20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8.75" customHeight="1"/>
    <row r="47" ht="12.0" customHeight="1"/>
    <row r="48" ht="3.0" customHeight="1"/>
    <row r="49" ht="13.5" customHeight="1"/>
    <row r="50" ht="19.5" customHeight="1"/>
    <row r="51" ht="19.5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7.25" customHeight="1"/>
    <row r="70" ht="12.0" customHeight="1"/>
    <row r="71" ht="11.25" customHeight="1"/>
    <row r="72" ht="13.5" customHeight="1"/>
    <row r="73" ht="19.5" customHeight="1"/>
    <row r="74" ht="19.5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7.25" customHeight="1"/>
    <row r="93" ht="12.0" customHeight="1"/>
    <row r="94" ht="12.0" customHeight="1"/>
    <row r="95" ht="12.0" customHeight="1"/>
    <row r="96" ht="21.0" customHeight="1"/>
    <row r="97" ht="21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9.5" customHeight="1"/>
    <row r="116" ht="12.0" customHeight="1"/>
    <row r="117" ht="12.0" customHeight="1"/>
    <row r="118" ht="21.0" customHeight="1"/>
    <row r="119" ht="21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1.25" customHeight="1"/>
    <row r="133" ht="11.25" customHeight="1"/>
    <row r="134" ht="11.25" customHeight="1"/>
    <row r="135" ht="10.5" customHeight="1"/>
    <row r="136" ht="11.25" customHeight="1"/>
    <row r="137" ht="18.75" customHeight="1"/>
    <row r="138" ht="12.0" customHeight="1"/>
    <row r="139" ht="14.25" customHeight="1"/>
    <row r="140" ht="12.0" customHeight="1"/>
    <row r="141" ht="20.25" customHeight="1"/>
    <row r="142" ht="21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8.0" customHeight="1"/>
    <row r="161" ht="12.0" customHeight="1"/>
    <row r="162" ht="8.25" customHeight="1"/>
    <row r="163" ht="12.0" customHeight="1"/>
    <row r="164" ht="19.5" customHeight="1"/>
    <row r="165" ht="20.25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8.0" customHeight="1"/>
    <row r="184" ht="12.0" customHeight="1"/>
    <row r="185" ht="12.0" customHeight="1"/>
    <row r="186" ht="12.0" customHeight="1"/>
    <row r="187" ht="12.0" customHeight="1"/>
    <row r="188" ht="21.0" customHeight="1"/>
    <row r="189" ht="21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</row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9.5" customHeight="1"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</row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7">
    <mergeCell ref="A4:A5"/>
    <mergeCell ref="B4:D4"/>
    <mergeCell ref="E4:G4"/>
    <mergeCell ref="H4:J4"/>
    <mergeCell ref="K4:M4"/>
    <mergeCell ref="N4:P4"/>
    <mergeCell ref="Q4:S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2012-10-15T08:46:17Z</dcterms:created>
  <dc:creator>Usuario de Office 2004 Test Drive</dc:creator>
</cp:coreProperties>
</file>