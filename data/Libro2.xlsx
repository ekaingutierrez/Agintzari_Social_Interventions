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WZ7nQu/nAukSOWd+hSsWvZlD+b2reQsoIW26Tmvdzk="/>
    </ext>
  </extLst>
</workbook>
</file>

<file path=xl/sharedStrings.xml><?xml version="1.0" encoding="utf-8"?>
<sst xmlns="http://schemas.openxmlformats.org/spreadsheetml/2006/main" count="116" uniqueCount="19">
  <si>
    <t>URIBARRI</t>
  </si>
  <si>
    <t>Variación anual</t>
  </si>
  <si>
    <t>Variacion anual</t>
  </si>
  <si>
    <t>Años</t>
  </si>
  <si>
    <t>Nº de habitantes</t>
  </si>
  <si>
    <t>Absoluto</t>
  </si>
  <si>
    <t>%</t>
  </si>
  <si>
    <t>Actividad economica</t>
  </si>
  <si>
    <t>Poblacion Extranjera</t>
  </si>
  <si>
    <t>Total Sobre Bilbao</t>
  </si>
  <si>
    <t>Renta Neta Media</t>
  </si>
  <si>
    <t>Variacion</t>
  </si>
  <si>
    <t>Edad  media</t>
  </si>
  <si>
    <t>Porcentaje de menores</t>
  </si>
  <si>
    <t>Porcentaje &gt;65 años</t>
  </si>
  <si>
    <t>-</t>
  </si>
  <si>
    <t>ABANDO</t>
  </si>
  <si>
    <t>IBAIONDO</t>
  </si>
  <si>
    <t>DEUSTO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</si>
</sst>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AEAEAE"/>
        <bgColor rgb="FFAEAEAE"/>
      </patternFill>
    </fill>
  </fills>
  <borders count="17">
    <border/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7" fillId="0" fontId="1" numFmtId="3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9" fillId="3" fontId="1" numFmtId="0" xfId="0" applyAlignment="1" applyBorder="1" applyFill="1" applyFont="1">
      <alignment horizontal="center" vertical="center"/>
    </xf>
    <xf borderId="10" fillId="3" fontId="1" numFmtId="1" xfId="0" applyAlignment="1" applyBorder="1" applyFont="1" applyNumberFormat="1">
      <alignment horizontal="center" vertical="center"/>
    </xf>
    <xf borderId="10" fillId="3" fontId="1" numFmtId="3" xfId="0" applyAlignment="1" applyBorder="1" applyFont="1" applyNumberFormat="1">
      <alignment horizontal="center" vertical="center"/>
    </xf>
    <xf borderId="11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1" numFmtId="1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7" fillId="0" fontId="1" numFmtId="164" xfId="0" applyAlignment="1" applyBorder="1" applyFont="1" applyNumberFormat="1">
      <alignment horizontal="center" vertical="center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7.5"/>
    <col customWidth="1" min="3" max="3" width="16.25"/>
    <col customWidth="1" min="4" max="4" width="6.0"/>
    <col customWidth="1" min="5" max="5" width="11.5"/>
    <col customWidth="1" min="6" max="6" width="5.38"/>
    <col customWidth="1" min="7" max="7" width="20.75"/>
    <col customWidth="1" min="8" max="8" width="16.25"/>
    <col customWidth="1" min="9" max="9" width="6.0"/>
    <col customWidth="1" min="10" max="10" width="11.5"/>
    <col customWidth="1" min="11" max="11" width="5.38"/>
    <col customWidth="1" min="12" max="12" width="20.5"/>
    <col customWidth="1" min="13" max="13" width="18.88"/>
    <col customWidth="1" min="14" max="14" width="16.25"/>
    <col customWidth="1" min="15" max="15" width="11.5"/>
    <col customWidth="1" min="16" max="16" width="5.38"/>
    <col customWidth="1" min="17" max="17" width="18.5"/>
    <col customWidth="1" min="18" max="18" width="10.25"/>
    <col customWidth="1" min="19" max="19" width="25.25"/>
    <col customWidth="1" min="20" max="20" width="9.5"/>
    <col customWidth="1" min="21" max="21" width="5.38"/>
    <col customWidth="1" min="22" max="22" width="13.0"/>
    <col customWidth="1" min="23" max="23" width="23.25"/>
    <col customWidth="1" min="24" max="24" width="20.13"/>
    <col customWidth="1" min="25" max="26" width="10.63"/>
  </cols>
  <sheetData>
    <row r="1" ht="14.25" customHeight="1">
      <c r="A1" s="1"/>
      <c r="B1" s="2" t="s">
        <v>0</v>
      </c>
      <c r="C1" s="3" t="s">
        <v>1</v>
      </c>
      <c r="D1" s="4"/>
      <c r="E1" s="3"/>
      <c r="F1" s="1"/>
      <c r="G1" s="2" t="s">
        <v>0</v>
      </c>
      <c r="H1" s="3" t="s">
        <v>1</v>
      </c>
      <c r="I1" s="4"/>
      <c r="J1" s="3"/>
      <c r="K1" s="1"/>
      <c r="L1" s="2" t="s">
        <v>0</v>
      </c>
      <c r="M1" s="3"/>
      <c r="N1" s="3" t="s">
        <v>2</v>
      </c>
      <c r="O1" s="5"/>
      <c r="P1" s="3"/>
      <c r="Q1" s="2" t="s">
        <v>0</v>
      </c>
      <c r="R1" s="3"/>
      <c r="S1" s="4"/>
      <c r="T1" s="1"/>
      <c r="U1" s="1"/>
      <c r="V1" s="2" t="s">
        <v>0</v>
      </c>
      <c r="W1" s="3"/>
      <c r="X1" s="4"/>
    </row>
    <row r="2" ht="14.25" customHeight="1">
      <c r="A2" s="6" t="s">
        <v>3</v>
      </c>
      <c r="B2" s="7" t="s">
        <v>4</v>
      </c>
      <c r="C2" s="7" t="s">
        <v>5</v>
      </c>
      <c r="D2" s="8" t="s">
        <v>6</v>
      </c>
      <c r="E2" s="9"/>
      <c r="F2" s="6"/>
      <c r="G2" s="7" t="s">
        <v>7</v>
      </c>
      <c r="H2" s="7" t="s">
        <v>5</v>
      </c>
      <c r="I2" s="8" t="s">
        <v>6</v>
      </c>
      <c r="J2" s="7"/>
      <c r="K2" s="6"/>
      <c r="L2" s="7" t="s">
        <v>8</v>
      </c>
      <c r="M2" s="7" t="s">
        <v>9</v>
      </c>
      <c r="N2" s="7" t="s">
        <v>5</v>
      </c>
      <c r="O2" s="10"/>
      <c r="P2" s="7"/>
      <c r="Q2" s="7" t="s">
        <v>10</v>
      </c>
      <c r="R2" s="7" t="s">
        <v>11</v>
      </c>
      <c r="S2" s="8"/>
      <c r="T2" s="6"/>
      <c r="U2" s="6"/>
      <c r="V2" s="7" t="s">
        <v>12</v>
      </c>
      <c r="W2" s="7" t="s">
        <v>13</v>
      </c>
      <c r="X2" s="8" t="s">
        <v>14</v>
      </c>
    </row>
    <row r="3" ht="14.25" customHeight="1">
      <c r="A3" s="6">
        <v>2014.0</v>
      </c>
      <c r="B3" s="11">
        <v>36595.0</v>
      </c>
      <c r="C3" s="12" t="s">
        <v>15</v>
      </c>
      <c r="D3" s="8" t="s">
        <v>15</v>
      </c>
      <c r="E3" s="9"/>
      <c r="F3" s="6">
        <v>2014.0</v>
      </c>
      <c r="G3" s="7">
        <v>1767.0</v>
      </c>
      <c r="H3" s="7" t="s">
        <v>15</v>
      </c>
      <c r="I3" s="8" t="s">
        <v>15</v>
      </c>
      <c r="J3" s="7"/>
      <c r="K3" s="6">
        <v>2014.0</v>
      </c>
      <c r="L3" s="13">
        <v>0.096</v>
      </c>
      <c r="M3" s="13">
        <v>0.105</v>
      </c>
      <c r="N3" s="7" t="s">
        <v>15</v>
      </c>
      <c r="O3" s="10"/>
      <c r="P3" s="7">
        <v>2014.0</v>
      </c>
      <c r="Q3" s="11">
        <f>_xlfn.FORECAST.LINEAR(P3,Q4:Q12,P4:P12)</f>
        <v>13033.13889</v>
      </c>
      <c r="R3" s="7" t="s">
        <v>15</v>
      </c>
      <c r="S3" s="8"/>
      <c r="T3" s="6"/>
      <c r="U3" s="6">
        <v>2014.0</v>
      </c>
      <c r="V3" s="11">
        <f>_xlfn.FORECAST.LINEAR(U3,V4:V12,U4:U12)</f>
        <v>47.88888889</v>
      </c>
      <c r="W3" s="12"/>
      <c r="X3" s="14"/>
    </row>
    <row r="4" ht="14.25" customHeight="1">
      <c r="A4" s="6">
        <v>2015.0</v>
      </c>
      <c r="B4" s="11">
        <v>36501.0</v>
      </c>
      <c r="C4" s="12">
        <f t="shared" ref="C4:C13" si="1">B4-B3</f>
        <v>-94</v>
      </c>
      <c r="D4" s="8">
        <v>-0.3</v>
      </c>
      <c r="E4" s="9"/>
      <c r="F4" s="6">
        <v>2015.0</v>
      </c>
      <c r="G4" s="7">
        <v>1824.0</v>
      </c>
      <c r="H4" s="7">
        <f t="shared" ref="H4:H11" si="2">G4-G3</f>
        <v>57</v>
      </c>
      <c r="I4" s="8">
        <v>3.23</v>
      </c>
      <c r="J4" s="7"/>
      <c r="K4" s="6">
        <v>2015.0</v>
      </c>
      <c r="L4" s="15">
        <v>0.1</v>
      </c>
      <c r="M4" s="16">
        <v>0.105</v>
      </c>
      <c r="N4" s="13">
        <f t="shared" ref="N4:N13" si="3">L4-L3</f>
        <v>0.004</v>
      </c>
      <c r="O4" s="10"/>
      <c r="P4" s="7">
        <v>2015.0</v>
      </c>
      <c r="Q4" s="11">
        <v>13831.0</v>
      </c>
      <c r="R4" s="7"/>
      <c r="S4" s="8"/>
      <c r="T4" s="6"/>
      <c r="U4" s="6">
        <v>2015.0</v>
      </c>
      <c r="V4" s="12">
        <v>47.9</v>
      </c>
      <c r="W4" s="12">
        <v>13.1</v>
      </c>
      <c r="X4" s="8">
        <v>27.8</v>
      </c>
    </row>
    <row r="5" ht="14.25" customHeight="1">
      <c r="A5" s="6">
        <v>2016.0</v>
      </c>
      <c r="B5" s="11">
        <v>36294.0</v>
      </c>
      <c r="C5" s="12">
        <f t="shared" si="1"/>
        <v>-207</v>
      </c>
      <c r="D5" s="8">
        <v>-0.6</v>
      </c>
      <c r="E5" s="9"/>
      <c r="F5" s="6">
        <v>2016.0</v>
      </c>
      <c r="G5" s="7">
        <v>1831.0</v>
      </c>
      <c r="H5" s="7">
        <f t="shared" si="2"/>
        <v>7</v>
      </c>
      <c r="I5" s="8">
        <v>0.4</v>
      </c>
      <c r="J5" s="7"/>
      <c r="K5" s="6">
        <v>2016.0</v>
      </c>
      <c r="L5" s="13">
        <v>0.102</v>
      </c>
      <c r="M5" s="16">
        <v>0.105</v>
      </c>
      <c r="N5" s="13">
        <f t="shared" si="3"/>
        <v>0.002</v>
      </c>
      <c r="O5" s="10"/>
      <c r="P5" s="7">
        <v>2016.0</v>
      </c>
      <c r="Q5" s="11">
        <v>14188.0</v>
      </c>
      <c r="R5" s="12">
        <f t="shared" ref="R5:R12" si="4">Q5-Q4</f>
        <v>357</v>
      </c>
      <c r="S5" s="8"/>
      <c r="T5" s="6"/>
      <c r="U5" s="6">
        <v>2016.0</v>
      </c>
      <c r="V5" s="12">
        <v>48.0</v>
      </c>
      <c r="W5" s="12">
        <v>13.3</v>
      </c>
      <c r="X5" s="8">
        <v>27.9</v>
      </c>
    </row>
    <row r="6" ht="14.25" customHeight="1">
      <c r="A6" s="6">
        <v>2017.0</v>
      </c>
      <c r="B6" s="11">
        <v>36080.0</v>
      </c>
      <c r="C6" s="12">
        <f t="shared" si="1"/>
        <v>-214</v>
      </c>
      <c r="D6" s="8">
        <v>-0.68</v>
      </c>
      <c r="E6" s="9"/>
      <c r="F6" s="6">
        <v>2017.0</v>
      </c>
      <c r="G6" s="7">
        <v>1808.0</v>
      </c>
      <c r="H6" s="7">
        <f t="shared" si="2"/>
        <v>-23</v>
      </c>
      <c r="I6" s="8">
        <v>-1.3</v>
      </c>
      <c r="J6" s="7"/>
      <c r="K6" s="6">
        <v>2017.0</v>
      </c>
      <c r="L6" s="13">
        <v>0.104</v>
      </c>
      <c r="M6" s="13">
        <v>0.104</v>
      </c>
      <c r="N6" s="13">
        <f t="shared" si="3"/>
        <v>0.002</v>
      </c>
      <c r="O6" s="10"/>
      <c r="P6" s="7">
        <v>2017.0</v>
      </c>
      <c r="Q6" s="11">
        <v>14414.0</v>
      </c>
      <c r="R6" s="12">
        <f t="shared" si="4"/>
        <v>226</v>
      </c>
      <c r="S6" s="8"/>
      <c r="T6" s="6"/>
      <c r="U6" s="6">
        <v>2017.0</v>
      </c>
      <c r="V6" s="12">
        <v>48.1</v>
      </c>
      <c r="W6" s="12">
        <v>13.2</v>
      </c>
      <c r="X6" s="8">
        <v>27.7</v>
      </c>
    </row>
    <row r="7" ht="14.25" customHeight="1">
      <c r="A7" s="6">
        <v>2018.0</v>
      </c>
      <c r="B7" s="11">
        <v>36191.0</v>
      </c>
      <c r="C7" s="12">
        <f t="shared" si="1"/>
        <v>111</v>
      </c>
      <c r="D7" s="8">
        <v>0.35</v>
      </c>
      <c r="E7" s="9"/>
      <c r="F7" s="6">
        <v>2018.0</v>
      </c>
      <c r="G7" s="7">
        <v>1817.0</v>
      </c>
      <c r="H7" s="7">
        <f t="shared" si="2"/>
        <v>9</v>
      </c>
      <c r="I7" s="8">
        <v>0.5</v>
      </c>
      <c r="J7" s="7"/>
      <c r="K7" s="6">
        <v>2018.0</v>
      </c>
      <c r="L7" s="13">
        <v>0.115</v>
      </c>
      <c r="M7" s="13">
        <v>0.105</v>
      </c>
      <c r="N7" s="13">
        <f t="shared" si="3"/>
        <v>0.011</v>
      </c>
      <c r="O7" s="10"/>
      <c r="P7" s="7">
        <v>2018.0</v>
      </c>
      <c r="Q7" s="11">
        <v>14850.0</v>
      </c>
      <c r="R7" s="12">
        <f t="shared" si="4"/>
        <v>436</v>
      </c>
      <c r="S7" s="8"/>
      <c r="T7" s="6"/>
      <c r="U7" s="6">
        <v>2018.0</v>
      </c>
      <c r="V7" s="12">
        <v>48.1</v>
      </c>
      <c r="W7" s="12">
        <v>13.2</v>
      </c>
      <c r="X7" s="8">
        <v>27.7</v>
      </c>
    </row>
    <row r="8" ht="14.25" customHeight="1">
      <c r="A8" s="6">
        <v>2019.0</v>
      </c>
      <c r="B8" s="11">
        <v>36147.0</v>
      </c>
      <c r="C8" s="12">
        <f t="shared" si="1"/>
        <v>-44</v>
      </c>
      <c r="D8" s="8">
        <v>-0.1</v>
      </c>
      <c r="E8" s="9"/>
      <c r="F8" s="6">
        <v>2019.0</v>
      </c>
      <c r="G8" s="7">
        <v>1779.0</v>
      </c>
      <c r="H8" s="7">
        <f t="shared" si="2"/>
        <v>-38</v>
      </c>
      <c r="I8" s="8">
        <v>-2.1</v>
      </c>
      <c r="J8" s="7"/>
      <c r="K8" s="6">
        <v>2019.0</v>
      </c>
      <c r="L8" s="13">
        <v>0.1055</v>
      </c>
      <c r="M8" s="13">
        <v>0.105</v>
      </c>
      <c r="N8" s="13">
        <f t="shared" si="3"/>
        <v>-0.0095</v>
      </c>
      <c r="O8" s="10"/>
      <c r="P8" s="7">
        <v>2019.0</v>
      </c>
      <c r="Q8" s="11">
        <v>15340.0</v>
      </c>
      <c r="R8" s="12">
        <f t="shared" si="4"/>
        <v>490</v>
      </c>
      <c r="S8" s="8"/>
      <c r="T8" s="6"/>
      <c r="U8" s="6">
        <v>2019.0</v>
      </c>
      <c r="V8" s="12">
        <v>48.1</v>
      </c>
      <c r="W8" s="12">
        <v>13.0</v>
      </c>
      <c r="X8" s="8">
        <v>27.5</v>
      </c>
    </row>
    <row r="9" ht="14.25" customHeight="1">
      <c r="A9" s="6">
        <v>2020.0</v>
      </c>
      <c r="B9" s="11">
        <v>36414.0</v>
      </c>
      <c r="C9" s="12">
        <f t="shared" si="1"/>
        <v>267</v>
      </c>
      <c r="D9" s="8">
        <v>0.7</v>
      </c>
      <c r="E9" s="9"/>
      <c r="F9" s="6">
        <v>2020.0</v>
      </c>
      <c r="G9" s="7">
        <v>2027.0</v>
      </c>
      <c r="H9" s="7">
        <f t="shared" si="2"/>
        <v>248</v>
      </c>
      <c r="I9" s="8">
        <v>13.7</v>
      </c>
      <c r="J9" s="7"/>
      <c r="K9" s="6">
        <v>2020.0</v>
      </c>
      <c r="L9" s="13">
        <v>0.104</v>
      </c>
      <c r="M9" s="13">
        <v>0.104</v>
      </c>
      <c r="N9" s="13">
        <f t="shared" si="3"/>
        <v>-0.0015</v>
      </c>
      <c r="O9" s="10"/>
      <c r="P9" s="7">
        <v>2020.0</v>
      </c>
      <c r="Q9" s="11">
        <v>14956.0</v>
      </c>
      <c r="R9" s="12">
        <f t="shared" si="4"/>
        <v>-384</v>
      </c>
      <c r="S9" s="8"/>
      <c r="T9" s="6"/>
      <c r="U9" s="6">
        <v>2020.0</v>
      </c>
      <c r="V9" s="12">
        <v>48.2</v>
      </c>
      <c r="W9" s="12">
        <v>12.8</v>
      </c>
      <c r="X9" s="8">
        <v>27.7</v>
      </c>
    </row>
    <row r="10" ht="14.25" customHeight="1">
      <c r="A10" s="6">
        <v>2021.0</v>
      </c>
      <c r="B10" s="11">
        <v>36111.0</v>
      </c>
      <c r="C10" s="12">
        <f t="shared" si="1"/>
        <v>-303</v>
      </c>
      <c r="D10" s="8">
        <v>-0.8</v>
      </c>
      <c r="E10" s="9"/>
      <c r="F10" s="6">
        <v>2021.0</v>
      </c>
      <c r="G10" s="7">
        <v>2021.0</v>
      </c>
      <c r="H10" s="7">
        <f t="shared" si="2"/>
        <v>-6</v>
      </c>
      <c r="I10" s="8">
        <v>-0.33</v>
      </c>
      <c r="J10" s="7"/>
      <c r="K10" s="6">
        <v>2021.0</v>
      </c>
      <c r="L10" s="13">
        <v>0.105</v>
      </c>
      <c r="M10" s="13">
        <v>0.104</v>
      </c>
      <c r="N10" s="13">
        <f t="shared" si="3"/>
        <v>0.001</v>
      </c>
      <c r="O10" s="10"/>
      <c r="P10" s="7">
        <v>2021.0</v>
      </c>
      <c r="Q10" s="11">
        <v>15659.0</v>
      </c>
      <c r="R10" s="12">
        <f t="shared" si="4"/>
        <v>703</v>
      </c>
      <c r="S10" s="8"/>
      <c r="T10" s="6"/>
      <c r="U10" s="6">
        <v>2021.0</v>
      </c>
      <c r="V10" s="12">
        <v>48.4</v>
      </c>
      <c r="W10" s="12">
        <v>12.6</v>
      </c>
      <c r="X10" s="8">
        <v>27.8</v>
      </c>
    </row>
    <row r="11" ht="14.25" customHeight="1">
      <c r="A11" s="6">
        <v>2022.0</v>
      </c>
      <c r="B11" s="11">
        <v>35990.0</v>
      </c>
      <c r="C11" s="12">
        <f t="shared" si="1"/>
        <v>-121</v>
      </c>
      <c r="D11" s="8">
        <v>-0.3</v>
      </c>
      <c r="E11" s="9"/>
      <c r="F11" s="6">
        <v>2022.0</v>
      </c>
      <c r="G11" s="7">
        <v>1998.0</v>
      </c>
      <c r="H11" s="7">
        <f t="shared" si="2"/>
        <v>-23</v>
      </c>
      <c r="I11" s="8">
        <v>-1.1</v>
      </c>
      <c r="J11" s="7"/>
      <c r="K11" s="6">
        <v>2022.0</v>
      </c>
      <c r="L11" s="13">
        <v>0.112</v>
      </c>
      <c r="M11" s="13">
        <v>0.104</v>
      </c>
      <c r="N11" s="13">
        <f t="shared" si="3"/>
        <v>0.007</v>
      </c>
      <c r="O11" s="10"/>
      <c r="P11" s="7">
        <v>2022.0</v>
      </c>
      <c r="Q11" s="11">
        <v>16615.0</v>
      </c>
      <c r="R11" s="12">
        <f t="shared" si="4"/>
        <v>956</v>
      </c>
      <c r="S11" s="8"/>
      <c r="T11" s="6"/>
      <c r="U11" s="6">
        <v>2022.0</v>
      </c>
      <c r="V11" s="7">
        <v>48.3</v>
      </c>
      <c r="W11" s="7">
        <v>12.4</v>
      </c>
      <c r="X11" s="8">
        <v>27.6</v>
      </c>
    </row>
    <row r="12" ht="14.25" customHeight="1">
      <c r="A12" s="6">
        <v>2023.0</v>
      </c>
      <c r="B12" s="11">
        <v>36025.0</v>
      </c>
      <c r="C12" s="12">
        <f t="shared" si="1"/>
        <v>35</v>
      </c>
      <c r="D12" s="8">
        <v>0.1</v>
      </c>
      <c r="E12" s="12"/>
      <c r="F12" s="6">
        <v>2023.0</v>
      </c>
      <c r="G12" s="7">
        <v>1977.0</v>
      </c>
      <c r="H12" s="7">
        <v>-21.0</v>
      </c>
      <c r="I12" s="8">
        <v>-1.1</v>
      </c>
      <c r="J12" s="7"/>
      <c r="K12" s="6">
        <v>2023.0</v>
      </c>
      <c r="L12" s="15">
        <v>0.11</v>
      </c>
      <c r="M12" s="13">
        <v>0.106</v>
      </c>
      <c r="N12" s="13">
        <f t="shared" si="3"/>
        <v>-0.002</v>
      </c>
      <c r="O12" s="10"/>
      <c r="P12" s="7">
        <v>2023.0</v>
      </c>
      <c r="Q12" s="11">
        <v>18320.0</v>
      </c>
      <c r="R12" s="12">
        <f t="shared" si="4"/>
        <v>1705</v>
      </c>
      <c r="S12" s="8"/>
      <c r="T12" s="6"/>
      <c r="U12" s="6">
        <v>2023.0</v>
      </c>
      <c r="V12" s="7">
        <v>48.3</v>
      </c>
      <c r="W12" s="7">
        <v>12.4</v>
      </c>
      <c r="X12" s="8">
        <v>27.6</v>
      </c>
    </row>
    <row r="13" ht="14.25" customHeight="1">
      <c r="A13" s="6">
        <v>2024.0</v>
      </c>
      <c r="B13" s="11">
        <v>36181.0</v>
      </c>
      <c r="C13" s="12">
        <f t="shared" si="1"/>
        <v>156</v>
      </c>
      <c r="D13" s="8">
        <v>0.45</v>
      </c>
      <c r="E13" s="7"/>
      <c r="F13" s="6">
        <v>2024.0</v>
      </c>
      <c r="G13" s="7">
        <v>1976.0</v>
      </c>
      <c r="H13" s="7">
        <f>G13-G12</f>
        <v>-1</v>
      </c>
      <c r="I13" s="8">
        <v>-0.05</v>
      </c>
      <c r="J13" s="7"/>
      <c r="K13" s="6">
        <v>2024.0</v>
      </c>
      <c r="L13" s="13">
        <v>0.107</v>
      </c>
      <c r="M13" s="13">
        <v>0.105</v>
      </c>
      <c r="N13" s="13">
        <f t="shared" si="3"/>
        <v>-0.003</v>
      </c>
      <c r="O13" s="10"/>
      <c r="P13" s="7">
        <v>2024.0</v>
      </c>
      <c r="Q13" s="11">
        <f>_xlfn.FORECAST.LINEAR(P13,Q3:Q12,P3:P12)</f>
        <v>17671.97222</v>
      </c>
      <c r="R13" s="12">
        <f>Q12-Q13</f>
        <v>648.0277778</v>
      </c>
      <c r="S13" s="8"/>
      <c r="T13" s="6"/>
      <c r="U13" s="6">
        <v>2024.0</v>
      </c>
      <c r="V13" s="11">
        <f t="shared" ref="V13:X13" si="5">_xlfn.FORECAST.LINEAR(U13,V3:V12,U3:U12)</f>
        <v>48.42222222</v>
      </c>
      <c r="W13" s="11">
        <f t="shared" si="5"/>
        <v>12.395116</v>
      </c>
      <c r="X13" s="11">
        <f t="shared" si="5"/>
        <v>27.62510186</v>
      </c>
    </row>
    <row r="14" ht="14.25" customHeight="1">
      <c r="A14" s="17">
        <v>2025.0</v>
      </c>
      <c r="B14" s="18"/>
      <c r="C14" s="19"/>
      <c r="D14" s="20"/>
      <c r="E14" s="21"/>
      <c r="F14" s="17">
        <v>2025.0</v>
      </c>
      <c r="G14" s="22"/>
      <c r="H14" s="22"/>
      <c r="I14" s="23"/>
      <c r="J14" s="24"/>
      <c r="K14" s="21"/>
      <c r="L14" s="21"/>
      <c r="M14" s="21"/>
      <c r="N14" s="21"/>
      <c r="O14" s="25"/>
      <c r="P14" s="21"/>
      <c r="Q14" s="26"/>
      <c r="R14" s="21"/>
      <c r="S14" s="24"/>
      <c r="T14" s="27"/>
      <c r="U14" s="27"/>
      <c r="V14" s="21"/>
      <c r="W14" s="21"/>
      <c r="X14" s="24"/>
    </row>
    <row r="15" ht="14.25" customHeight="1">
      <c r="A15" s="7"/>
      <c r="B15" s="1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1"/>
      <c r="R15" s="7"/>
      <c r="S15" s="7"/>
      <c r="T15" s="7"/>
      <c r="U15" s="7"/>
      <c r="V15" s="7"/>
      <c r="W15" s="7"/>
      <c r="X15" s="7"/>
    </row>
    <row r="16" ht="14.25" customHeight="1">
      <c r="A16" s="7"/>
      <c r="B16" s="1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1"/>
      <c r="R16" s="7"/>
      <c r="S16" s="7"/>
      <c r="T16" s="7"/>
      <c r="U16" s="7"/>
      <c r="V16" s="7"/>
      <c r="W16" s="7"/>
      <c r="X16" s="7"/>
    </row>
    <row r="17" ht="14.25" customHeight="1">
      <c r="A17" s="1"/>
      <c r="B17" s="28" t="s">
        <v>16</v>
      </c>
      <c r="C17" s="3" t="s">
        <v>1</v>
      </c>
      <c r="D17" s="4"/>
      <c r="E17" s="3"/>
      <c r="F17" s="1"/>
      <c r="G17" s="29" t="s">
        <v>16</v>
      </c>
      <c r="H17" s="3" t="s">
        <v>1</v>
      </c>
      <c r="I17" s="3"/>
      <c r="J17" s="5"/>
      <c r="K17" s="3"/>
      <c r="L17" s="28" t="s">
        <v>16</v>
      </c>
      <c r="M17" s="3"/>
      <c r="N17" s="3" t="s">
        <v>2</v>
      </c>
      <c r="O17" s="5"/>
      <c r="P17" s="3"/>
      <c r="Q17" s="28" t="s">
        <v>16</v>
      </c>
      <c r="R17" s="3"/>
      <c r="S17" s="4"/>
      <c r="T17" s="1"/>
      <c r="U17" s="1"/>
      <c r="V17" s="28" t="s">
        <v>16</v>
      </c>
      <c r="W17" s="3"/>
      <c r="X17" s="4"/>
    </row>
    <row r="18" ht="14.25" customHeight="1">
      <c r="A18" s="6" t="s">
        <v>3</v>
      </c>
      <c r="B18" s="11" t="s">
        <v>4</v>
      </c>
      <c r="C18" s="7" t="s">
        <v>5</v>
      </c>
      <c r="D18" s="8" t="s">
        <v>6</v>
      </c>
      <c r="E18" s="7"/>
      <c r="F18" s="6"/>
      <c r="G18" s="7" t="s">
        <v>7</v>
      </c>
      <c r="H18" s="7" t="s">
        <v>5</v>
      </c>
      <c r="I18" s="7" t="s">
        <v>6</v>
      </c>
      <c r="J18" s="10"/>
      <c r="K18" s="7"/>
      <c r="L18" s="7" t="s">
        <v>8</v>
      </c>
      <c r="M18" s="7" t="s">
        <v>9</v>
      </c>
      <c r="N18" s="7" t="s">
        <v>5</v>
      </c>
      <c r="O18" s="10"/>
      <c r="P18" s="7"/>
      <c r="Q18" s="11" t="s">
        <v>10</v>
      </c>
      <c r="R18" s="7" t="s">
        <v>11</v>
      </c>
      <c r="S18" s="8"/>
      <c r="T18" s="6"/>
      <c r="U18" s="6"/>
      <c r="V18" s="7" t="s">
        <v>12</v>
      </c>
      <c r="W18" s="7" t="s">
        <v>13</v>
      </c>
      <c r="X18" s="8" t="s">
        <v>14</v>
      </c>
    </row>
    <row r="19" ht="14.25" customHeight="1">
      <c r="A19" s="6">
        <v>2014.0</v>
      </c>
      <c r="B19" s="11">
        <v>51322.0</v>
      </c>
      <c r="C19" s="12" t="s">
        <v>15</v>
      </c>
      <c r="D19" s="8" t="s">
        <v>15</v>
      </c>
      <c r="E19" s="7"/>
      <c r="F19" s="6">
        <v>2014.0</v>
      </c>
      <c r="G19" s="7">
        <v>13674.0</v>
      </c>
      <c r="H19" s="7" t="s">
        <v>15</v>
      </c>
      <c r="I19" s="7" t="s">
        <v>15</v>
      </c>
      <c r="J19" s="10"/>
      <c r="K19" s="7">
        <v>2014.0</v>
      </c>
      <c r="L19" s="13">
        <v>0.119</v>
      </c>
      <c r="M19" s="13">
        <v>0.148</v>
      </c>
      <c r="N19" s="7" t="s">
        <v>15</v>
      </c>
      <c r="O19" s="10"/>
      <c r="P19" s="7">
        <v>2014.0</v>
      </c>
      <c r="Q19" s="11"/>
      <c r="R19" s="7" t="s">
        <v>15</v>
      </c>
      <c r="S19" s="8"/>
      <c r="T19" s="6"/>
      <c r="U19" s="6">
        <v>2014.0</v>
      </c>
      <c r="V19" s="11">
        <f>_xlfn.FORECAST.LINEAR(U19,V20:V28,U20:U28)</f>
        <v>46.81111111</v>
      </c>
      <c r="W19" s="7"/>
      <c r="X19" s="8"/>
    </row>
    <row r="20" ht="14.25" customHeight="1">
      <c r="A20" s="6">
        <v>2015.0</v>
      </c>
      <c r="B20" s="11">
        <v>51361.0</v>
      </c>
      <c r="C20" s="12">
        <f t="shared" ref="C20:C29" si="6">B20-B19</f>
        <v>39</v>
      </c>
      <c r="D20" s="30">
        <f t="shared" ref="D20:D29" si="7">C20/B19</f>
        <v>0.0007599080316</v>
      </c>
      <c r="E20" s="12"/>
      <c r="F20" s="6">
        <v>2015.0</v>
      </c>
      <c r="G20" s="7">
        <v>13962.0</v>
      </c>
      <c r="H20" s="7">
        <f t="shared" ref="H20:H29" si="8">G20-G19</f>
        <v>288</v>
      </c>
      <c r="I20" s="7"/>
      <c r="J20" s="10"/>
      <c r="K20" s="7">
        <v>2015.0</v>
      </c>
      <c r="L20" s="13">
        <v>0.116</v>
      </c>
      <c r="M20" s="13">
        <v>0.148</v>
      </c>
      <c r="N20" s="13">
        <f t="shared" ref="N20:N29" si="9">L20-L19</f>
        <v>-0.003</v>
      </c>
      <c r="O20" s="10"/>
      <c r="P20" s="7">
        <v>2015.0</v>
      </c>
      <c r="Q20" s="11">
        <v>22446.0</v>
      </c>
      <c r="R20" s="7"/>
      <c r="S20" s="8"/>
      <c r="T20" s="6"/>
      <c r="U20" s="6">
        <v>2015.0</v>
      </c>
      <c r="V20" s="7">
        <v>46.9</v>
      </c>
      <c r="W20" s="7">
        <v>14.8</v>
      </c>
      <c r="X20" s="8">
        <v>25.0</v>
      </c>
    </row>
    <row r="21" ht="14.25" customHeight="1">
      <c r="A21" s="6">
        <v>2016.0</v>
      </c>
      <c r="B21" s="11">
        <v>51154.0</v>
      </c>
      <c r="C21" s="12">
        <f t="shared" si="6"/>
        <v>-207</v>
      </c>
      <c r="D21" s="30">
        <f t="shared" si="7"/>
        <v>-0.00403029536</v>
      </c>
      <c r="E21" s="12"/>
      <c r="F21" s="6">
        <v>2016.0</v>
      </c>
      <c r="G21" s="7">
        <v>14096.0</v>
      </c>
      <c r="H21" s="7">
        <f t="shared" si="8"/>
        <v>134</v>
      </c>
      <c r="I21" s="7"/>
      <c r="J21" s="10"/>
      <c r="K21" s="7">
        <v>2016.0</v>
      </c>
      <c r="L21" s="15">
        <v>0.11</v>
      </c>
      <c r="M21" s="13">
        <v>0.148</v>
      </c>
      <c r="N21" s="13">
        <f t="shared" si="9"/>
        <v>-0.006</v>
      </c>
      <c r="O21" s="10"/>
      <c r="P21" s="7">
        <v>2016.0</v>
      </c>
      <c r="Q21" s="11">
        <v>23565.0</v>
      </c>
      <c r="R21" s="12">
        <f t="shared" ref="R21:R28" si="10">Q21-Q20</f>
        <v>1119</v>
      </c>
      <c r="S21" s="8"/>
      <c r="T21" s="6"/>
      <c r="U21" s="6">
        <v>2016.0</v>
      </c>
      <c r="V21" s="7">
        <v>47.1</v>
      </c>
      <c r="W21" s="7">
        <v>14.8</v>
      </c>
      <c r="X21" s="8">
        <v>25.7</v>
      </c>
    </row>
    <row r="22" ht="14.25" customHeight="1">
      <c r="A22" s="6">
        <v>2017.0</v>
      </c>
      <c r="B22" s="11">
        <v>51447.0</v>
      </c>
      <c r="C22" s="12">
        <f t="shared" si="6"/>
        <v>293</v>
      </c>
      <c r="D22" s="30">
        <f t="shared" si="7"/>
        <v>0.005727802322</v>
      </c>
      <c r="E22" s="12"/>
      <c r="F22" s="6">
        <v>2017.0</v>
      </c>
      <c r="G22" s="7">
        <v>14043.0</v>
      </c>
      <c r="H22" s="7">
        <f t="shared" si="8"/>
        <v>-53</v>
      </c>
      <c r="I22" s="7"/>
      <c r="J22" s="10"/>
      <c r="K22" s="7">
        <v>2017.0</v>
      </c>
      <c r="L22" s="13">
        <v>0.107</v>
      </c>
      <c r="M22" s="13">
        <v>0.149</v>
      </c>
      <c r="N22" s="13">
        <f t="shared" si="9"/>
        <v>-0.003</v>
      </c>
      <c r="O22" s="10"/>
      <c r="P22" s="7">
        <v>2017.0</v>
      </c>
      <c r="Q22" s="11">
        <v>23744.0</v>
      </c>
      <c r="R22" s="12">
        <f t="shared" si="10"/>
        <v>179</v>
      </c>
      <c r="S22" s="8"/>
      <c r="T22" s="6"/>
      <c r="U22" s="6">
        <v>2017.0</v>
      </c>
      <c r="V22" s="7">
        <v>47.2</v>
      </c>
      <c r="W22" s="7">
        <v>14.7</v>
      </c>
      <c r="X22" s="8">
        <v>25.9</v>
      </c>
    </row>
    <row r="23" ht="14.25" customHeight="1">
      <c r="A23" s="6">
        <v>2018.0</v>
      </c>
      <c r="B23" s="11">
        <v>51622.0</v>
      </c>
      <c r="C23" s="12">
        <f t="shared" si="6"/>
        <v>175</v>
      </c>
      <c r="D23" s="30">
        <f t="shared" si="7"/>
        <v>0.003401558886</v>
      </c>
      <c r="E23" s="12"/>
      <c r="F23" s="6">
        <v>2018.0</v>
      </c>
      <c r="G23" s="7">
        <v>14107.0</v>
      </c>
      <c r="H23" s="7">
        <f t="shared" si="8"/>
        <v>64</v>
      </c>
      <c r="I23" s="7"/>
      <c r="J23" s="10"/>
      <c r="K23" s="7">
        <v>2018.0</v>
      </c>
      <c r="L23" s="13">
        <v>0.109</v>
      </c>
      <c r="M23" s="13">
        <v>0.149</v>
      </c>
      <c r="N23" s="13">
        <f t="shared" si="9"/>
        <v>0.002</v>
      </c>
      <c r="O23" s="10"/>
      <c r="P23" s="7">
        <v>2018.0</v>
      </c>
      <c r="Q23" s="11">
        <v>24881.0</v>
      </c>
      <c r="R23" s="12">
        <f t="shared" si="10"/>
        <v>1137</v>
      </c>
      <c r="S23" s="8"/>
      <c r="T23" s="6"/>
      <c r="U23" s="6">
        <v>2018.0</v>
      </c>
      <c r="V23" s="7">
        <v>47.3</v>
      </c>
      <c r="W23" s="7">
        <v>14.6</v>
      </c>
      <c r="X23" s="8">
        <v>26.1</v>
      </c>
    </row>
    <row r="24" ht="14.25" customHeight="1">
      <c r="A24" s="6">
        <v>2019.0</v>
      </c>
      <c r="B24" s="11">
        <v>51507.0</v>
      </c>
      <c r="C24" s="12">
        <f t="shared" si="6"/>
        <v>-115</v>
      </c>
      <c r="D24" s="30">
        <f t="shared" si="7"/>
        <v>-0.002227732362</v>
      </c>
      <c r="E24" s="12"/>
      <c r="F24" s="6">
        <v>2019.0</v>
      </c>
      <c r="G24" s="7">
        <v>14262.0</v>
      </c>
      <c r="H24" s="7">
        <f t="shared" si="8"/>
        <v>155</v>
      </c>
      <c r="I24" s="7"/>
      <c r="J24" s="10"/>
      <c r="K24" s="7">
        <v>2019.0</v>
      </c>
      <c r="L24" s="13">
        <v>0.105</v>
      </c>
      <c r="M24" s="13">
        <v>0.148</v>
      </c>
      <c r="N24" s="13">
        <f t="shared" si="9"/>
        <v>-0.004</v>
      </c>
      <c r="O24" s="10"/>
      <c r="P24" s="7">
        <v>2019.0</v>
      </c>
      <c r="Q24" s="11">
        <v>25367.0</v>
      </c>
      <c r="R24" s="12">
        <f t="shared" si="10"/>
        <v>486</v>
      </c>
      <c r="S24" s="8"/>
      <c r="T24" s="6"/>
      <c r="U24" s="6">
        <v>2019.0</v>
      </c>
      <c r="V24" s="7">
        <v>47.4</v>
      </c>
      <c r="W24" s="7">
        <v>14.4</v>
      </c>
      <c r="X24" s="8">
        <v>26.2</v>
      </c>
    </row>
    <row r="25" ht="14.25" customHeight="1">
      <c r="A25" s="6">
        <v>2020.0</v>
      </c>
      <c r="B25" s="11">
        <v>51989.0</v>
      </c>
      <c r="C25" s="12">
        <f t="shared" si="6"/>
        <v>482</v>
      </c>
      <c r="D25" s="30">
        <f t="shared" si="7"/>
        <v>0.009357951346</v>
      </c>
      <c r="E25" s="12"/>
      <c r="F25" s="6">
        <v>2020.0</v>
      </c>
      <c r="G25" s="7">
        <v>13056.0</v>
      </c>
      <c r="H25" s="7">
        <f t="shared" si="8"/>
        <v>-1206</v>
      </c>
      <c r="I25" s="7"/>
      <c r="J25" s="10"/>
      <c r="K25" s="7">
        <v>2020.0</v>
      </c>
      <c r="L25" s="13">
        <v>0.098</v>
      </c>
      <c r="M25" s="13">
        <v>0.148</v>
      </c>
      <c r="N25" s="13">
        <f t="shared" si="9"/>
        <v>-0.007</v>
      </c>
      <c r="O25" s="10"/>
      <c r="P25" s="7">
        <v>2020.0</v>
      </c>
      <c r="Q25" s="11">
        <v>25113.0</v>
      </c>
      <c r="R25" s="12">
        <f t="shared" si="10"/>
        <v>-254</v>
      </c>
      <c r="S25" s="8"/>
      <c r="T25" s="6"/>
      <c r="U25" s="6">
        <v>2020.0</v>
      </c>
      <c r="V25" s="7">
        <v>47.6</v>
      </c>
      <c r="W25" s="7">
        <v>14.0</v>
      </c>
      <c r="X25" s="8">
        <v>26.6</v>
      </c>
    </row>
    <row r="26" ht="14.25" customHeight="1">
      <c r="A26" s="6">
        <v>2021.0</v>
      </c>
      <c r="B26" s="11">
        <v>51226.0</v>
      </c>
      <c r="C26" s="12">
        <f t="shared" si="6"/>
        <v>-763</v>
      </c>
      <c r="D26" s="30">
        <f t="shared" si="7"/>
        <v>-0.0146761815</v>
      </c>
      <c r="E26" s="12"/>
      <c r="F26" s="6">
        <v>2021.0</v>
      </c>
      <c r="G26" s="7">
        <v>12907.0</v>
      </c>
      <c r="H26" s="7">
        <f t="shared" si="8"/>
        <v>-149</v>
      </c>
      <c r="I26" s="7"/>
      <c r="J26" s="10"/>
      <c r="K26" s="7">
        <v>2021.0</v>
      </c>
      <c r="L26" s="13">
        <v>0.096</v>
      </c>
      <c r="M26" s="13">
        <v>0.148</v>
      </c>
      <c r="N26" s="13">
        <f t="shared" si="9"/>
        <v>-0.002</v>
      </c>
      <c r="O26" s="10"/>
      <c r="P26" s="7">
        <v>2021.0</v>
      </c>
      <c r="Q26" s="11">
        <v>26039.0</v>
      </c>
      <c r="R26" s="12">
        <f t="shared" si="10"/>
        <v>926</v>
      </c>
      <c r="S26" s="8"/>
      <c r="T26" s="6"/>
      <c r="U26" s="6">
        <v>2021.0</v>
      </c>
      <c r="V26" s="7">
        <v>47.8</v>
      </c>
      <c r="W26" s="7">
        <v>13.7</v>
      </c>
      <c r="X26" s="8">
        <v>27.2</v>
      </c>
    </row>
    <row r="27" ht="14.25" customHeight="1">
      <c r="A27" s="6">
        <v>2022.0</v>
      </c>
      <c r="B27" s="11">
        <v>51086.0</v>
      </c>
      <c r="C27" s="12">
        <f t="shared" si="6"/>
        <v>-140</v>
      </c>
      <c r="D27" s="30">
        <f t="shared" si="7"/>
        <v>-0.002732987155</v>
      </c>
      <c r="E27" s="12"/>
      <c r="F27" s="6">
        <v>2022.0</v>
      </c>
      <c r="G27" s="7">
        <v>12702.0</v>
      </c>
      <c r="H27" s="7">
        <f t="shared" si="8"/>
        <v>-205</v>
      </c>
      <c r="I27" s="7"/>
      <c r="J27" s="10"/>
      <c r="K27" s="7">
        <v>2022.0</v>
      </c>
      <c r="L27" s="13">
        <v>0.101</v>
      </c>
      <c r="M27" s="13">
        <v>0.149</v>
      </c>
      <c r="N27" s="13">
        <f t="shared" si="9"/>
        <v>0.005</v>
      </c>
      <c r="O27" s="10"/>
      <c r="P27" s="7">
        <v>2022.0</v>
      </c>
      <c r="Q27" s="11">
        <v>28498.0</v>
      </c>
      <c r="R27" s="12">
        <f t="shared" si="10"/>
        <v>2459</v>
      </c>
      <c r="S27" s="8"/>
      <c r="T27" s="6"/>
      <c r="U27" s="6">
        <v>2022.0</v>
      </c>
      <c r="V27" s="7">
        <v>47.8</v>
      </c>
      <c r="W27" s="7">
        <v>13.6</v>
      </c>
      <c r="X27" s="8">
        <v>27.4</v>
      </c>
    </row>
    <row r="28" ht="14.25" customHeight="1">
      <c r="A28" s="6">
        <v>2023.0</v>
      </c>
      <c r="B28" s="11">
        <v>51174.0</v>
      </c>
      <c r="C28" s="12">
        <f t="shared" si="6"/>
        <v>88</v>
      </c>
      <c r="D28" s="30">
        <f t="shared" si="7"/>
        <v>0.001722585444</v>
      </c>
      <c r="E28" s="12"/>
      <c r="F28" s="6">
        <v>2023.0</v>
      </c>
      <c r="G28" s="7">
        <v>12392.0</v>
      </c>
      <c r="H28" s="7">
        <f t="shared" si="8"/>
        <v>-310</v>
      </c>
      <c r="I28" s="7"/>
      <c r="J28" s="10"/>
      <c r="K28" s="7">
        <v>2023.0</v>
      </c>
      <c r="L28" s="13">
        <v>0.098</v>
      </c>
      <c r="M28" s="13">
        <v>0.149</v>
      </c>
      <c r="N28" s="13">
        <f t="shared" si="9"/>
        <v>-0.003</v>
      </c>
      <c r="O28" s="10"/>
      <c r="P28" s="7">
        <v>2023.0</v>
      </c>
      <c r="Q28" s="11">
        <v>30762.0</v>
      </c>
      <c r="R28" s="12">
        <f t="shared" si="10"/>
        <v>2264</v>
      </c>
      <c r="S28" s="8"/>
      <c r="T28" s="6"/>
      <c r="U28" s="6">
        <v>2023.0</v>
      </c>
      <c r="V28" s="7">
        <v>47.9</v>
      </c>
      <c r="W28" s="7">
        <v>13.4</v>
      </c>
      <c r="X28" s="8">
        <v>27.8</v>
      </c>
    </row>
    <row r="29" ht="14.25" customHeight="1">
      <c r="A29" s="6">
        <v>2024.0</v>
      </c>
      <c r="B29" s="11">
        <v>51897.0</v>
      </c>
      <c r="C29" s="12">
        <f t="shared" si="6"/>
        <v>723</v>
      </c>
      <c r="D29" s="30">
        <f t="shared" si="7"/>
        <v>0.01412826826</v>
      </c>
      <c r="E29" s="7"/>
      <c r="F29" s="6">
        <v>2024.0</v>
      </c>
      <c r="G29" s="7">
        <v>12580.0</v>
      </c>
      <c r="H29" s="7">
        <f t="shared" si="8"/>
        <v>188</v>
      </c>
      <c r="I29" s="7"/>
      <c r="J29" s="10"/>
      <c r="K29" s="7">
        <v>2024.0</v>
      </c>
      <c r="L29" s="13">
        <v>0.096</v>
      </c>
      <c r="M29" s="13">
        <v>0.148</v>
      </c>
      <c r="N29" s="13">
        <f t="shared" si="9"/>
        <v>-0.002</v>
      </c>
      <c r="O29" s="10"/>
      <c r="P29" s="7">
        <v>2024.0</v>
      </c>
      <c r="Q29" s="11">
        <f>_xlfn.FORECAST.LINEAR(P29,Q19:Q28,P19:P28)</f>
        <v>30008.75</v>
      </c>
      <c r="R29" s="11">
        <f>Q28-Q29</f>
        <v>753.25</v>
      </c>
      <c r="S29" s="8"/>
      <c r="T29" s="6"/>
      <c r="U29" s="6">
        <v>2024.0</v>
      </c>
      <c r="V29" s="11">
        <f t="shared" ref="V29:X29" si="11">_xlfn.FORECAST.LINEAR(U29,V19:V28,U19:U28)</f>
        <v>48.07777778</v>
      </c>
      <c r="W29" s="11">
        <f t="shared" si="11"/>
        <v>13.24929613</v>
      </c>
      <c r="X29" s="11">
        <f t="shared" si="11"/>
        <v>27.95347532</v>
      </c>
    </row>
    <row r="30" ht="14.25" customHeight="1">
      <c r="A30" s="17">
        <v>2025.0</v>
      </c>
      <c r="B30" s="18"/>
      <c r="C30" s="19"/>
      <c r="D30" s="20"/>
      <c r="E30" s="21"/>
      <c r="F30" s="17">
        <v>2025.0</v>
      </c>
      <c r="G30" s="22"/>
      <c r="H30" s="22"/>
      <c r="I30" s="22"/>
      <c r="J30" s="25"/>
      <c r="K30" s="21"/>
      <c r="L30" s="21"/>
      <c r="M30" s="21"/>
      <c r="N30" s="21"/>
      <c r="O30" s="25"/>
      <c r="P30" s="21"/>
      <c r="Q30" s="26"/>
      <c r="R30" s="21"/>
      <c r="S30" s="24"/>
      <c r="T30" s="27"/>
      <c r="U30" s="27"/>
      <c r="V30" s="21"/>
      <c r="W30" s="21"/>
      <c r="X30" s="24"/>
    </row>
    <row r="31" ht="14.25" customHeight="1">
      <c r="A31" s="7"/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1"/>
      <c r="R31" s="7"/>
      <c r="S31" s="7"/>
      <c r="T31" s="7"/>
      <c r="U31" s="7"/>
      <c r="V31" s="7"/>
      <c r="W31" s="7"/>
      <c r="X31" s="7"/>
    </row>
    <row r="32" ht="14.25" customHeight="1">
      <c r="A32" s="7"/>
      <c r="B32" s="1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1"/>
      <c r="R32" s="7"/>
      <c r="S32" s="7"/>
      <c r="T32" s="7"/>
      <c r="U32" s="7"/>
      <c r="V32" s="7"/>
      <c r="W32" s="7"/>
      <c r="X32" s="7"/>
    </row>
    <row r="33" ht="14.25" customHeight="1">
      <c r="A33" s="1"/>
      <c r="B33" s="28" t="s">
        <v>17</v>
      </c>
      <c r="C33" s="3" t="s">
        <v>1</v>
      </c>
      <c r="D33" s="31"/>
      <c r="E33" s="3"/>
      <c r="F33" s="1"/>
      <c r="G33" s="28" t="s">
        <v>17</v>
      </c>
      <c r="H33" s="3" t="s">
        <v>1</v>
      </c>
      <c r="I33" s="3"/>
      <c r="J33" s="5"/>
      <c r="K33" s="3"/>
      <c r="L33" s="28" t="s">
        <v>17</v>
      </c>
      <c r="M33" s="3"/>
      <c r="N33" s="3" t="s">
        <v>2</v>
      </c>
      <c r="O33" s="5"/>
      <c r="P33" s="3"/>
      <c r="Q33" s="28" t="s">
        <v>17</v>
      </c>
      <c r="R33" s="3"/>
      <c r="S33" s="4"/>
      <c r="T33" s="1"/>
      <c r="U33" s="1"/>
      <c r="V33" s="28" t="s">
        <v>17</v>
      </c>
      <c r="W33" s="3"/>
      <c r="X33" s="4"/>
    </row>
    <row r="34" ht="14.25" customHeight="1">
      <c r="A34" s="6" t="s">
        <v>3</v>
      </c>
      <c r="B34" s="11" t="s">
        <v>4</v>
      </c>
      <c r="C34" s="7" t="s">
        <v>5</v>
      </c>
      <c r="D34" s="8" t="s">
        <v>6</v>
      </c>
      <c r="E34" s="7"/>
      <c r="F34" s="6"/>
      <c r="G34" s="7" t="s">
        <v>7</v>
      </c>
      <c r="H34" s="7" t="s">
        <v>5</v>
      </c>
      <c r="I34" s="7" t="s">
        <v>6</v>
      </c>
      <c r="J34" s="10"/>
      <c r="K34" s="7"/>
      <c r="L34" s="7" t="s">
        <v>8</v>
      </c>
      <c r="M34" s="7" t="s">
        <v>9</v>
      </c>
      <c r="N34" s="7" t="s">
        <v>5</v>
      </c>
      <c r="O34" s="10"/>
      <c r="P34" s="7"/>
      <c r="Q34" s="11" t="s">
        <v>10</v>
      </c>
      <c r="R34" s="7" t="s">
        <v>11</v>
      </c>
      <c r="S34" s="8"/>
      <c r="T34" s="6"/>
      <c r="U34" s="6"/>
      <c r="V34" s="7" t="s">
        <v>12</v>
      </c>
      <c r="W34" s="7" t="s">
        <v>13</v>
      </c>
      <c r="X34" s="8" t="s">
        <v>14</v>
      </c>
    </row>
    <row r="35" ht="14.25" customHeight="1">
      <c r="A35" s="6">
        <v>2014.0</v>
      </c>
      <c r="B35" s="11">
        <v>61574.0</v>
      </c>
      <c r="C35" s="12" t="s">
        <v>15</v>
      </c>
      <c r="D35" s="8" t="s">
        <v>15</v>
      </c>
      <c r="E35" s="7"/>
      <c r="F35" s="6">
        <v>2014.0</v>
      </c>
      <c r="G35" s="7">
        <v>4401.0</v>
      </c>
      <c r="H35" s="7" t="s">
        <v>15</v>
      </c>
      <c r="I35" s="7" t="s">
        <v>15</v>
      </c>
      <c r="J35" s="10"/>
      <c r="K35" s="7">
        <v>2014.0</v>
      </c>
      <c r="L35" s="13">
        <v>0.266</v>
      </c>
      <c r="M35" s="13">
        <v>0.177</v>
      </c>
      <c r="N35" s="7" t="s">
        <v>15</v>
      </c>
      <c r="O35" s="10"/>
      <c r="P35" s="7">
        <v>2014.0</v>
      </c>
      <c r="Q35" s="11"/>
      <c r="R35" s="7" t="s">
        <v>15</v>
      </c>
      <c r="S35" s="8"/>
      <c r="T35" s="6"/>
      <c r="U35" s="6">
        <v>2014.0</v>
      </c>
      <c r="V35" s="11">
        <f>_xlfn.FORECAST.LINEAR(U35,V36:V44,U36:U44)</f>
        <v>41.72222222</v>
      </c>
      <c r="W35" s="7"/>
      <c r="X35" s="8"/>
    </row>
    <row r="36" ht="14.25" customHeight="1">
      <c r="A36" s="6">
        <v>2015.0</v>
      </c>
      <c r="B36" s="11">
        <v>61754.0</v>
      </c>
      <c r="C36" s="12">
        <f t="shared" ref="C36:C45" si="12">B36-B35</f>
        <v>180</v>
      </c>
      <c r="D36" s="30">
        <f t="shared" ref="D36:D45" si="13">C36/B35</f>
        <v>0.002923311787</v>
      </c>
      <c r="E36" s="12"/>
      <c r="F36" s="6">
        <v>2015.0</v>
      </c>
      <c r="G36" s="7">
        <v>4369.0</v>
      </c>
      <c r="H36" s="7">
        <f t="shared" ref="H36:H45" si="14">G36-G35</f>
        <v>-32</v>
      </c>
      <c r="I36" s="7"/>
      <c r="J36" s="10"/>
      <c r="K36" s="7">
        <v>2015.0</v>
      </c>
      <c r="L36" s="13">
        <v>0.264</v>
      </c>
      <c r="M36" s="13">
        <v>0.178</v>
      </c>
      <c r="N36" s="13">
        <f t="shared" ref="N36:N45" si="15">L36-L35</f>
        <v>-0.002</v>
      </c>
      <c r="O36" s="10"/>
      <c r="P36" s="7">
        <v>2015.0</v>
      </c>
      <c r="Q36" s="11">
        <v>12367.0</v>
      </c>
      <c r="R36" s="7"/>
      <c r="S36" s="8"/>
      <c r="T36" s="6"/>
      <c r="U36" s="6">
        <v>2015.0</v>
      </c>
      <c r="V36" s="7">
        <v>42.0</v>
      </c>
      <c r="W36" s="7">
        <v>17.1</v>
      </c>
      <c r="X36" s="8">
        <v>16.6</v>
      </c>
    </row>
    <row r="37" ht="14.25" customHeight="1">
      <c r="A37" s="6">
        <v>2016.0</v>
      </c>
      <c r="B37" s="11">
        <v>61931.0</v>
      </c>
      <c r="C37" s="12">
        <f t="shared" si="12"/>
        <v>177</v>
      </c>
      <c r="D37" s="30">
        <f t="shared" si="13"/>
        <v>0.002866211096</v>
      </c>
      <c r="E37" s="12"/>
      <c r="F37" s="6">
        <v>2016.0</v>
      </c>
      <c r="G37" s="7">
        <v>4401.0</v>
      </c>
      <c r="H37" s="7">
        <f t="shared" si="14"/>
        <v>32</v>
      </c>
      <c r="I37" s="7"/>
      <c r="J37" s="10"/>
      <c r="K37" s="7">
        <v>2016.0</v>
      </c>
      <c r="L37" s="13">
        <v>0.261</v>
      </c>
      <c r="M37" s="13">
        <v>0.179</v>
      </c>
      <c r="N37" s="13">
        <f t="shared" si="15"/>
        <v>-0.003</v>
      </c>
      <c r="O37" s="10"/>
      <c r="P37" s="7">
        <v>2016.0</v>
      </c>
      <c r="Q37" s="11">
        <v>12752.0</v>
      </c>
      <c r="R37" s="12">
        <f t="shared" ref="R37:R44" si="16">Q37-Q36</f>
        <v>385</v>
      </c>
      <c r="S37" s="8"/>
      <c r="T37" s="6"/>
      <c r="U37" s="6">
        <v>2016.0</v>
      </c>
      <c r="V37" s="7">
        <v>42.3</v>
      </c>
      <c r="W37" s="7">
        <v>17.3</v>
      </c>
      <c r="X37" s="8">
        <v>16.6</v>
      </c>
    </row>
    <row r="38" ht="14.25" customHeight="1">
      <c r="A38" s="6">
        <v>2017.0</v>
      </c>
      <c r="B38" s="11">
        <v>61929.0</v>
      </c>
      <c r="C38" s="12">
        <f t="shared" si="12"/>
        <v>-2</v>
      </c>
      <c r="D38" s="30">
        <f t="shared" si="13"/>
        <v>-0.00003229400462</v>
      </c>
      <c r="E38" s="12"/>
      <c r="F38" s="6">
        <v>2017.0</v>
      </c>
      <c r="G38" s="7">
        <v>4422.0</v>
      </c>
      <c r="H38" s="7">
        <f t="shared" si="14"/>
        <v>21</v>
      </c>
      <c r="I38" s="7"/>
      <c r="J38" s="10"/>
      <c r="K38" s="7">
        <v>2017.0</v>
      </c>
      <c r="L38" s="13">
        <v>0.256</v>
      </c>
      <c r="M38" s="13">
        <v>0.179</v>
      </c>
      <c r="N38" s="13">
        <f t="shared" si="15"/>
        <v>-0.005</v>
      </c>
      <c r="O38" s="10"/>
      <c r="P38" s="7">
        <v>2017.0</v>
      </c>
      <c r="Q38" s="11">
        <v>13040.0</v>
      </c>
      <c r="R38" s="12">
        <f t="shared" si="16"/>
        <v>288</v>
      </c>
      <c r="S38" s="8"/>
      <c r="T38" s="6"/>
      <c r="U38" s="6">
        <v>2017.0</v>
      </c>
      <c r="V38" s="7">
        <v>42.5</v>
      </c>
      <c r="W38" s="7">
        <v>17.1</v>
      </c>
      <c r="X38" s="8">
        <v>16.7</v>
      </c>
    </row>
    <row r="39" ht="14.25" customHeight="1">
      <c r="A39" s="6">
        <v>2018.0</v>
      </c>
      <c r="B39" s="11">
        <v>62232.0</v>
      </c>
      <c r="C39" s="12">
        <f t="shared" si="12"/>
        <v>303</v>
      </c>
      <c r="D39" s="30">
        <f t="shared" si="13"/>
        <v>0.004892699705</v>
      </c>
      <c r="E39" s="12"/>
      <c r="F39" s="6">
        <v>2018.0</v>
      </c>
      <c r="G39" s="7">
        <v>4479.0</v>
      </c>
      <c r="H39" s="7">
        <f t="shared" si="14"/>
        <v>57</v>
      </c>
      <c r="I39" s="7"/>
      <c r="J39" s="10"/>
      <c r="K39" s="7">
        <v>2018.0</v>
      </c>
      <c r="L39" s="13">
        <v>0.274</v>
      </c>
      <c r="M39" s="15">
        <v>0.18</v>
      </c>
      <c r="N39" s="13">
        <f t="shared" si="15"/>
        <v>0.018</v>
      </c>
      <c r="O39" s="10"/>
      <c r="P39" s="7">
        <v>2018.0</v>
      </c>
      <c r="Q39" s="11">
        <v>13405.0</v>
      </c>
      <c r="R39" s="12">
        <f t="shared" si="16"/>
        <v>365</v>
      </c>
      <c r="S39" s="8"/>
      <c r="T39" s="6"/>
      <c r="U39" s="6">
        <v>2018.0</v>
      </c>
      <c r="V39" s="7">
        <v>42.7</v>
      </c>
      <c r="W39" s="7">
        <v>16.9</v>
      </c>
      <c r="X39" s="8">
        <v>16.9</v>
      </c>
    </row>
    <row r="40" ht="14.25" customHeight="1">
      <c r="A40" s="6">
        <v>2019.0</v>
      </c>
      <c r="B40" s="11">
        <v>62619.0</v>
      </c>
      <c r="C40" s="12">
        <f t="shared" si="12"/>
        <v>387</v>
      </c>
      <c r="D40" s="30">
        <f t="shared" si="13"/>
        <v>0.006218665638</v>
      </c>
      <c r="E40" s="12"/>
      <c r="F40" s="6">
        <v>2019.0</v>
      </c>
      <c r="G40" s="7">
        <v>4531.0</v>
      </c>
      <c r="H40" s="7">
        <f t="shared" si="14"/>
        <v>52</v>
      </c>
      <c r="I40" s="7"/>
      <c r="J40" s="10"/>
      <c r="K40" s="7">
        <v>2019.0</v>
      </c>
      <c r="L40" s="13">
        <v>0.2483</v>
      </c>
      <c r="M40" s="15">
        <v>0.18</v>
      </c>
      <c r="N40" s="13">
        <f t="shared" si="15"/>
        <v>-0.0257</v>
      </c>
      <c r="O40" s="10"/>
      <c r="P40" s="7">
        <v>2019.0</v>
      </c>
      <c r="Q40" s="11">
        <v>13866.0</v>
      </c>
      <c r="R40" s="12">
        <f t="shared" si="16"/>
        <v>461</v>
      </c>
      <c r="S40" s="8"/>
      <c r="T40" s="6"/>
      <c r="U40" s="6">
        <v>2019.0</v>
      </c>
      <c r="V40" s="7">
        <v>42.8</v>
      </c>
      <c r="W40" s="7">
        <v>16.7</v>
      </c>
      <c r="X40" s="8">
        <v>16.9</v>
      </c>
    </row>
    <row r="41" ht="14.25" customHeight="1">
      <c r="A41" s="6">
        <v>2020.0</v>
      </c>
      <c r="B41" s="11">
        <v>63495.0</v>
      </c>
      <c r="C41" s="12">
        <f t="shared" si="12"/>
        <v>876</v>
      </c>
      <c r="D41" s="30">
        <f t="shared" si="13"/>
        <v>0.01398936425</v>
      </c>
      <c r="E41" s="12"/>
      <c r="F41" s="6">
        <v>2020.0</v>
      </c>
      <c r="G41" s="7">
        <v>4739.0</v>
      </c>
      <c r="H41" s="7">
        <f t="shared" si="14"/>
        <v>208</v>
      </c>
      <c r="I41" s="7"/>
      <c r="J41" s="10"/>
      <c r="K41" s="7">
        <v>2020.0</v>
      </c>
      <c r="L41" s="15">
        <v>0.25</v>
      </c>
      <c r="M41" s="15">
        <v>0.18</v>
      </c>
      <c r="N41" s="13">
        <f t="shared" si="15"/>
        <v>0.0017</v>
      </c>
      <c r="O41" s="10"/>
      <c r="P41" s="7">
        <v>2020.0</v>
      </c>
      <c r="Q41" s="11">
        <v>13981.0</v>
      </c>
      <c r="R41" s="12">
        <f t="shared" si="16"/>
        <v>115</v>
      </c>
      <c r="S41" s="8"/>
      <c r="T41" s="6"/>
      <c r="U41" s="6">
        <v>2020.0</v>
      </c>
      <c r="V41" s="7">
        <v>43.2</v>
      </c>
      <c r="W41" s="7">
        <v>16.4</v>
      </c>
      <c r="X41" s="8">
        <v>17.3</v>
      </c>
    </row>
    <row r="42" ht="14.25" customHeight="1">
      <c r="A42" s="6">
        <v>2021.0</v>
      </c>
      <c r="B42" s="11">
        <v>62780.0</v>
      </c>
      <c r="C42" s="12">
        <f t="shared" si="12"/>
        <v>-715</v>
      </c>
      <c r="D42" s="30">
        <f t="shared" si="13"/>
        <v>-0.01126072919</v>
      </c>
      <c r="E42" s="12"/>
      <c r="F42" s="6">
        <v>2021.0</v>
      </c>
      <c r="G42" s="7">
        <v>4720.0</v>
      </c>
      <c r="H42" s="7">
        <f t="shared" si="14"/>
        <v>-19</v>
      </c>
      <c r="I42" s="7"/>
      <c r="J42" s="10"/>
      <c r="K42" s="7">
        <v>2021.0</v>
      </c>
      <c r="L42" s="13">
        <v>0.244</v>
      </c>
      <c r="M42" s="13">
        <v>0.181</v>
      </c>
      <c r="N42" s="13">
        <f t="shared" si="15"/>
        <v>-0.006</v>
      </c>
      <c r="O42" s="10"/>
      <c r="P42" s="7">
        <v>2021.0</v>
      </c>
      <c r="Q42" s="11">
        <v>14614.0</v>
      </c>
      <c r="R42" s="12">
        <f t="shared" si="16"/>
        <v>633</v>
      </c>
      <c r="S42" s="8"/>
      <c r="T42" s="6"/>
      <c r="U42" s="6">
        <v>2021.0</v>
      </c>
      <c r="V42" s="7">
        <v>43.6</v>
      </c>
      <c r="W42" s="7">
        <v>16.2</v>
      </c>
      <c r="X42" s="8">
        <v>17.7</v>
      </c>
    </row>
    <row r="43" ht="14.25" customHeight="1">
      <c r="A43" s="6">
        <v>2022.0</v>
      </c>
      <c r="B43" s="11">
        <v>61805.0</v>
      </c>
      <c r="C43" s="12">
        <f t="shared" si="12"/>
        <v>-975</v>
      </c>
      <c r="D43" s="30">
        <f t="shared" si="13"/>
        <v>-0.0155304237</v>
      </c>
      <c r="E43" s="12"/>
      <c r="F43" s="6">
        <v>2022.0</v>
      </c>
      <c r="G43" s="7">
        <v>4701.0</v>
      </c>
      <c r="H43" s="7">
        <f t="shared" si="14"/>
        <v>-19</v>
      </c>
      <c r="I43" s="7"/>
      <c r="J43" s="10"/>
      <c r="K43" s="7">
        <v>2022.0</v>
      </c>
      <c r="L43" s="13">
        <v>0.228</v>
      </c>
      <c r="M43" s="13">
        <v>0.181</v>
      </c>
      <c r="N43" s="13">
        <f t="shared" si="15"/>
        <v>-0.016</v>
      </c>
      <c r="O43" s="10"/>
      <c r="P43" s="7">
        <v>2022.0</v>
      </c>
      <c r="Q43" s="11">
        <v>15539.0</v>
      </c>
      <c r="R43" s="12">
        <f t="shared" si="16"/>
        <v>925</v>
      </c>
      <c r="S43" s="8"/>
      <c r="T43" s="6"/>
      <c r="U43" s="6">
        <v>2022.0</v>
      </c>
      <c r="V43" s="7">
        <v>43.8</v>
      </c>
      <c r="W43" s="7">
        <v>15.8</v>
      </c>
      <c r="X43" s="8">
        <v>18.1</v>
      </c>
    </row>
    <row r="44" ht="14.25" customHeight="1">
      <c r="A44" s="6">
        <v>2023.0</v>
      </c>
      <c r="B44" s="11">
        <v>62141.0</v>
      </c>
      <c r="C44" s="12">
        <f t="shared" si="12"/>
        <v>336</v>
      </c>
      <c r="D44" s="30">
        <f t="shared" si="13"/>
        <v>0.005436453361</v>
      </c>
      <c r="E44" s="12"/>
      <c r="F44" s="6">
        <v>2023.0</v>
      </c>
      <c r="G44" s="7">
        <v>4655.0</v>
      </c>
      <c r="H44" s="7">
        <f t="shared" si="14"/>
        <v>-46</v>
      </c>
      <c r="I44" s="7"/>
      <c r="J44" s="10"/>
      <c r="K44" s="7">
        <v>2023.0</v>
      </c>
      <c r="L44" s="13">
        <v>0.221</v>
      </c>
      <c r="M44" s="15">
        <v>0.18</v>
      </c>
      <c r="N44" s="13">
        <f t="shared" si="15"/>
        <v>-0.007</v>
      </c>
      <c r="O44" s="10"/>
      <c r="P44" s="7">
        <v>2023.0</v>
      </c>
      <c r="Q44" s="11">
        <v>16843.0</v>
      </c>
      <c r="R44" s="12">
        <f t="shared" si="16"/>
        <v>1304</v>
      </c>
      <c r="S44" s="8"/>
      <c r="T44" s="6"/>
      <c r="U44" s="6">
        <v>2023.0</v>
      </c>
      <c r="V44" s="7">
        <v>44.0</v>
      </c>
      <c r="W44" s="7">
        <v>15.5</v>
      </c>
      <c r="X44" s="8">
        <v>18.4</v>
      </c>
    </row>
    <row r="45" ht="14.25" customHeight="1">
      <c r="A45" s="6">
        <v>2024.0</v>
      </c>
      <c r="B45" s="11">
        <v>63062.0</v>
      </c>
      <c r="C45" s="12">
        <f t="shared" si="12"/>
        <v>921</v>
      </c>
      <c r="D45" s="30">
        <f t="shared" si="13"/>
        <v>0.01482113259</v>
      </c>
      <c r="E45" s="7"/>
      <c r="F45" s="6">
        <v>2024.0</v>
      </c>
      <c r="G45" s="7">
        <v>4680.0</v>
      </c>
      <c r="H45" s="7">
        <f t="shared" si="14"/>
        <v>25</v>
      </c>
      <c r="I45" s="7"/>
      <c r="J45" s="10"/>
      <c r="K45" s="7">
        <v>2024.0</v>
      </c>
      <c r="L45" s="13">
        <v>0.219</v>
      </c>
      <c r="M45" s="13">
        <v>0.179</v>
      </c>
      <c r="N45" s="13">
        <f t="shared" si="15"/>
        <v>-0.002</v>
      </c>
      <c r="O45" s="10"/>
      <c r="P45" s="7">
        <v>2024.0</v>
      </c>
      <c r="Q45" s="11">
        <f>_xlfn.FORECAST.LINEAR(P45,Q35:Q44,P35:P44)</f>
        <v>16544.30556</v>
      </c>
      <c r="R45" s="11">
        <f>Q44-Q45</f>
        <v>298.6944444</v>
      </c>
      <c r="S45" s="8"/>
      <c r="T45" s="6"/>
      <c r="U45" s="6">
        <v>2024.0</v>
      </c>
      <c r="V45" s="11">
        <f t="shared" ref="V45:X45" si="17">_xlfn.FORECAST.LINEAR(U45,V35:V44,U35:U44)</f>
        <v>44.25555556</v>
      </c>
      <c r="W45" s="11">
        <f t="shared" si="17"/>
        <v>15.46207441</v>
      </c>
      <c r="X45" s="11">
        <f t="shared" si="17"/>
        <v>18.4114729</v>
      </c>
    </row>
    <row r="46" ht="14.25" customHeight="1">
      <c r="A46" s="17">
        <v>2025.0</v>
      </c>
      <c r="B46" s="18"/>
      <c r="C46" s="19"/>
      <c r="D46" s="20"/>
      <c r="E46" s="21"/>
      <c r="F46" s="17">
        <v>2025.0</v>
      </c>
      <c r="G46" s="22"/>
      <c r="H46" s="22"/>
      <c r="I46" s="22"/>
      <c r="J46" s="25"/>
      <c r="K46" s="21"/>
      <c r="L46" s="21"/>
      <c r="M46" s="21"/>
      <c r="N46" s="21"/>
      <c r="O46" s="25"/>
      <c r="P46" s="21"/>
      <c r="Q46" s="26"/>
      <c r="R46" s="21"/>
      <c r="S46" s="24"/>
      <c r="T46" s="27"/>
      <c r="U46" s="27"/>
      <c r="V46" s="21"/>
      <c r="W46" s="21"/>
      <c r="X46" s="24"/>
    </row>
    <row r="47" ht="14.25" customHeight="1">
      <c r="A47" s="7"/>
      <c r="B47" s="1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1"/>
      <c r="R47" s="7"/>
      <c r="S47" s="7"/>
      <c r="T47" s="7"/>
      <c r="U47" s="7"/>
      <c r="V47" s="7"/>
      <c r="W47" s="7"/>
      <c r="X47" s="7"/>
    </row>
    <row r="48" ht="14.25" customHeight="1">
      <c r="A48" s="7"/>
      <c r="B48" s="1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1"/>
      <c r="R48" s="7"/>
      <c r="S48" s="7"/>
      <c r="T48" s="7"/>
      <c r="U48" s="7"/>
      <c r="V48" s="7"/>
      <c r="W48" s="7"/>
      <c r="X48" s="7"/>
    </row>
    <row r="49" ht="14.25" customHeight="1">
      <c r="A49" s="1"/>
      <c r="B49" s="28" t="s">
        <v>18</v>
      </c>
      <c r="C49" s="3" t="s">
        <v>1</v>
      </c>
      <c r="D49" s="4"/>
      <c r="E49" s="3"/>
      <c r="F49" s="1"/>
      <c r="G49" s="28" t="s">
        <v>18</v>
      </c>
      <c r="H49" s="3" t="s">
        <v>1</v>
      </c>
      <c r="I49" s="3"/>
      <c r="J49" s="5"/>
      <c r="K49" s="3"/>
      <c r="L49" s="28" t="s">
        <v>18</v>
      </c>
      <c r="M49" s="3"/>
      <c r="N49" s="3" t="s">
        <v>2</v>
      </c>
      <c r="O49" s="5"/>
      <c r="P49" s="3"/>
      <c r="Q49" s="28" t="s">
        <v>18</v>
      </c>
      <c r="R49" s="3"/>
      <c r="S49" s="4"/>
      <c r="T49" s="1"/>
      <c r="U49" s="1"/>
      <c r="V49" s="28" t="s">
        <v>18</v>
      </c>
      <c r="W49" s="3"/>
      <c r="X49" s="4"/>
    </row>
    <row r="50" ht="14.25" customHeight="1">
      <c r="A50" s="6" t="s">
        <v>3</v>
      </c>
      <c r="B50" s="11" t="s">
        <v>4</v>
      </c>
      <c r="C50" s="7" t="s">
        <v>5</v>
      </c>
      <c r="D50" s="8" t="s">
        <v>6</v>
      </c>
      <c r="E50" s="7"/>
      <c r="F50" s="6"/>
      <c r="G50" s="7" t="s">
        <v>7</v>
      </c>
      <c r="H50" s="7" t="s">
        <v>5</v>
      </c>
      <c r="I50" s="7" t="s">
        <v>6</v>
      </c>
      <c r="J50" s="10"/>
      <c r="K50" s="7"/>
      <c r="L50" s="7" t="s">
        <v>8</v>
      </c>
      <c r="M50" s="7" t="s">
        <v>9</v>
      </c>
      <c r="N50" s="7" t="s">
        <v>5</v>
      </c>
      <c r="O50" s="10"/>
      <c r="P50" s="7"/>
      <c r="Q50" s="11" t="s">
        <v>10</v>
      </c>
      <c r="R50" s="7" t="s">
        <v>11</v>
      </c>
      <c r="S50" s="8"/>
      <c r="T50" s="6"/>
      <c r="U50" s="6"/>
      <c r="V50" s="7" t="s">
        <v>12</v>
      </c>
      <c r="W50" s="7" t="s">
        <v>13</v>
      </c>
      <c r="X50" s="8" t="s">
        <v>14</v>
      </c>
    </row>
    <row r="51" ht="14.25" customHeight="1">
      <c r="A51" s="6">
        <v>2014.0</v>
      </c>
      <c r="B51" s="11">
        <v>49583.0</v>
      </c>
      <c r="C51" s="12" t="s">
        <v>15</v>
      </c>
      <c r="D51" s="8" t="s">
        <v>15</v>
      </c>
      <c r="E51" s="7"/>
      <c r="F51" s="6">
        <v>2014.0</v>
      </c>
      <c r="G51" s="7">
        <v>3525.0</v>
      </c>
      <c r="H51" s="7" t="s">
        <v>15</v>
      </c>
      <c r="I51" s="7" t="s">
        <v>15</v>
      </c>
      <c r="J51" s="10"/>
      <c r="K51" s="7">
        <v>2014.0</v>
      </c>
      <c r="L51" s="13">
        <v>0.123</v>
      </c>
      <c r="M51" s="13">
        <v>0.143</v>
      </c>
      <c r="N51" s="7" t="s">
        <v>15</v>
      </c>
      <c r="O51" s="10"/>
      <c r="P51" s="7">
        <v>2014.0</v>
      </c>
      <c r="Q51" s="11"/>
      <c r="R51" s="7" t="s">
        <v>15</v>
      </c>
      <c r="S51" s="8"/>
      <c r="T51" s="6"/>
      <c r="U51" s="6">
        <v>2014.0</v>
      </c>
      <c r="V51" s="11">
        <f>_xlfn.FORECAST.LINEAR(U51,V52:V60,U52:U60)</f>
        <v>47.025</v>
      </c>
      <c r="W51" s="7"/>
      <c r="X51" s="8"/>
    </row>
    <row r="52" ht="14.25" customHeight="1">
      <c r="A52" s="6">
        <v>2015.0</v>
      </c>
      <c r="B52" s="11">
        <v>49398.0</v>
      </c>
      <c r="C52" s="12">
        <f t="shared" ref="C52:C61" si="18">B52-B51</f>
        <v>-185</v>
      </c>
      <c r="D52" s="30">
        <f t="shared" ref="D52:D61" si="19">C52/B51</f>
        <v>-0.00373111752</v>
      </c>
      <c r="E52" s="12"/>
      <c r="F52" s="6">
        <v>2015.0</v>
      </c>
      <c r="G52" s="7">
        <v>3519.0</v>
      </c>
      <c r="H52" s="7">
        <f t="shared" ref="H52:H61" si="20">G52-G51</f>
        <v>-6</v>
      </c>
      <c r="I52" s="7"/>
      <c r="J52" s="10"/>
      <c r="K52" s="7">
        <v>2015.0</v>
      </c>
      <c r="L52" s="13">
        <v>0.121</v>
      </c>
      <c r="M52" s="13">
        <v>0.143</v>
      </c>
      <c r="N52" s="13">
        <f t="shared" ref="N52:N61" si="21">L52-L51</f>
        <v>-0.002</v>
      </c>
      <c r="O52" s="10"/>
      <c r="P52" s="7">
        <v>2015.0</v>
      </c>
      <c r="Q52" s="11">
        <v>14415.0</v>
      </c>
      <c r="R52" s="7"/>
      <c r="S52" s="8"/>
      <c r="T52" s="6"/>
      <c r="U52" s="6">
        <v>2015.0</v>
      </c>
      <c r="V52" s="7">
        <v>47.1</v>
      </c>
      <c r="W52" s="12">
        <v>13.7</v>
      </c>
      <c r="X52" s="14">
        <v>25.4</v>
      </c>
    </row>
    <row r="53" ht="14.25" customHeight="1">
      <c r="A53" s="6">
        <v>2016.0</v>
      </c>
      <c r="B53" s="11">
        <v>48977.0</v>
      </c>
      <c r="C53" s="12">
        <f t="shared" si="18"/>
        <v>-421</v>
      </c>
      <c r="D53" s="30">
        <f t="shared" si="19"/>
        <v>-0.008522612252</v>
      </c>
      <c r="E53" s="12"/>
      <c r="F53" s="6">
        <v>2016.0</v>
      </c>
      <c r="G53" s="7">
        <v>3506.0</v>
      </c>
      <c r="H53" s="7">
        <f t="shared" si="20"/>
        <v>-13</v>
      </c>
      <c r="I53" s="7"/>
      <c r="J53" s="10"/>
      <c r="K53" s="7">
        <v>2016.0</v>
      </c>
      <c r="L53" s="13">
        <v>0.121</v>
      </c>
      <c r="M53" s="13">
        <v>0.141</v>
      </c>
      <c r="N53" s="13">
        <f t="shared" si="21"/>
        <v>0</v>
      </c>
      <c r="O53" s="10"/>
      <c r="P53" s="7">
        <v>2016.0</v>
      </c>
      <c r="Q53" s="11">
        <v>14854.0</v>
      </c>
      <c r="R53" s="12">
        <f t="shared" ref="R53:R60" si="22">Q53-Q52</f>
        <v>439</v>
      </c>
      <c r="S53" s="8"/>
      <c r="T53" s="6"/>
      <c r="U53" s="6">
        <v>2016.0</v>
      </c>
      <c r="V53" s="7">
        <v>47.2</v>
      </c>
      <c r="W53" s="12">
        <v>13.8</v>
      </c>
      <c r="X53" s="14">
        <v>25.5</v>
      </c>
    </row>
    <row r="54" ht="14.25" customHeight="1">
      <c r="A54" s="6">
        <v>2017.0</v>
      </c>
      <c r="B54" s="11">
        <v>49111.0</v>
      </c>
      <c r="C54" s="12">
        <f t="shared" si="18"/>
        <v>134</v>
      </c>
      <c r="D54" s="30">
        <f t="shared" si="19"/>
        <v>0.002735978112</v>
      </c>
      <c r="E54" s="12"/>
      <c r="F54" s="6">
        <v>2017.0</v>
      </c>
      <c r="G54" s="7">
        <v>3492.0</v>
      </c>
      <c r="H54" s="7">
        <f t="shared" si="20"/>
        <v>-14</v>
      </c>
      <c r="I54" s="7"/>
      <c r="J54" s="10"/>
      <c r="K54" s="7">
        <v>2017.0</v>
      </c>
      <c r="L54" s="15">
        <v>0.12</v>
      </c>
      <c r="M54" s="13">
        <v>0.142</v>
      </c>
      <c r="N54" s="13">
        <f t="shared" si="21"/>
        <v>-0.001</v>
      </c>
      <c r="O54" s="10"/>
      <c r="P54" s="7">
        <v>2017.0</v>
      </c>
      <c r="Q54" s="11">
        <v>15159.0</v>
      </c>
      <c r="R54" s="12">
        <f t="shared" si="22"/>
        <v>305</v>
      </c>
      <c r="S54" s="8"/>
      <c r="T54" s="6"/>
      <c r="U54" s="6">
        <v>2017.0</v>
      </c>
      <c r="V54" s="7">
        <v>47.4</v>
      </c>
      <c r="W54" s="12">
        <v>13.7</v>
      </c>
      <c r="X54" s="14">
        <v>25.9</v>
      </c>
    </row>
    <row r="55" ht="14.25" customHeight="1">
      <c r="A55" s="6">
        <v>2018.0</v>
      </c>
      <c r="B55" s="11">
        <v>49148.0</v>
      </c>
      <c r="C55" s="12">
        <f t="shared" si="18"/>
        <v>37</v>
      </c>
      <c r="D55" s="30">
        <f t="shared" si="19"/>
        <v>0.0007533953697</v>
      </c>
      <c r="E55" s="12"/>
      <c r="F55" s="6">
        <v>2018.0</v>
      </c>
      <c r="G55" s="7">
        <v>3570.0</v>
      </c>
      <c r="H55" s="7">
        <f t="shared" si="20"/>
        <v>78</v>
      </c>
      <c r="I55" s="7"/>
      <c r="J55" s="10"/>
      <c r="K55" s="7">
        <v>2018.0</v>
      </c>
      <c r="L55" s="13">
        <v>0.126</v>
      </c>
      <c r="M55" s="13">
        <v>0.142</v>
      </c>
      <c r="N55" s="13">
        <f t="shared" si="21"/>
        <v>0.006</v>
      </c>
      <c r="O55" s="10"/>
      <c r="P55" s="7">
        <v>2018.0</v>
      </c>
      <c r="Q55" s="11">
        <v>15811.0</v>
      </c>
      <c r="R55" s="12">
        <f t="shared" si="22"/>
        <v>652</v>
      </c>
      <c r="S55" s="8"/>
      <c r="T55" s="6"/>
      <c r="U55" s="6">
        <v>2018.0</v>
      </c>
      <c r="V55" s="7">
        <v>47.5</v>
      </c>
      <c r="W55" s="12">
        <v>13.6</v>
      </c>
      <c r="X55" s="14">
        <v>26.2</v>
      </c>
    </row>
    <row r="56" ht="14.25" customHeight="1">
      <c r="A56" s="6">
        <v>2019.0</v>
      </c>
      <c r="B56" s="11">
        <v>49193.0</v>
      </c>
      <c r="C56" s="12">
        <f t="shared" si="18"/>
        <v>45</v>
      </c>
      <c r="D56" s="30">
        <f t="shared" si="19"/>
        <v>0.0009156018556</v>
      </c>
      <c r="E56" s="12"/>
      <c r="F56" s="6">
        <v>2019.0</v>
      </c>
      <c r="G56" s="7">
        <v>3599.0</v>
      </c>
      <c r="H56" s="7">
        <f t="shared" si="20"/>
        <v>29</v>
      </c>
      <c r="I56" s="7"/>
      <c r="J56" s="10"/>
      <c r="K56" s="7">
        <v>2019.0</v>
      </c>
      <c r="L56" s="13">
        <v>0.1218</v>
      </c>
      <c r="M56" s="13">
        <v>0.142</v>
      </c>
      <c r="N56" s="13">
        <f t="shared" si="21"/>
        <v>-0.0042</v>
      </c>
      <c r="O56" s="10"/>
      <c r="P56" s="7">
        <v>2019.0</v>
      </c>
      <c r="Q56" s="11">
        <v>16154.0</v>
      </c>
      <c r="R56" s="12">
        <f t="shared" si="22"/>
        <v>343</v>
      </c>
      <c r="S56" s="8"/>
      <c r="T56" s="6"/>
      <c r="U56" s="6">
        <v>2019.0</v>
      </c>
      <c r="V56" s="7">
        <v>47.5</v>
      </c>
      <c r="W56" s="12">
        <v>13.5</v>
      </c>
      <c r="X56" s="14">
        <v>26.4</v>
      </c>
    </row>
    <row r="57" ht="14.25" customHeight="1">
      <c r="A57" s="6">
        <v>2020.0</v>
      </c>
      <c r="B57" s="11">
        <v>49595.0</v>
      </c>
      <c r="C57" s="12">
        <f t="shared" si="18"/>
        <v>402</v>
      </c>
      <c r="D57" s="30">
        <f t="shared" si="19"/>
        <v>0.008171894375</v>
      </c>
      <c r="E57" s="12"/>
      <c r="F57" s="6">
        <v>2020.0</v>
      </c>
      <c r="G57" s="7">
        <v>3645.0</v>
      </c>
      <c r="H57" s="7">
        <f t="shared" si="20"/>
        <v>46</v>
      </c>
      <c r="I57" s="7"/>
      <c r="J57" s="10"/>
      <c r="K57" s="7">
        <v>2020.0</v>
      </c>
      <c r="L57" s="13">
        <v>0.118</v>
      </c>
      <c r="M57" s="13">
        <v>0.142</v>
      </c>
      <c r="N57" s="13">
        <f t="shared" si="21"/>
        <v>-0.0038</v>
      </c>
      <c r="O57" s="10"/>
      <c r="P57" s="7">
        <v>2020.0</v>
      </c>
      <c r="Q57" s="11">
        <v>16137.0</v>
      </c>
      <c r="R57" s="12">
        <f t="shared" si="22"/>
        <v>-17</v>
      </c>
      <c r="S57" s="8"/>
      <c r="T57" s="6"/>
      <c r="U57" s="6">
        <v>2020.0</v>
      </c>
      <c r="V57" s="7">
        <v>47.7</v>
      </c>
      <c r="W57" s="12">
        <v>13.2</v>
      </c>
      <c r="X57" s="14">
        <v>26.8</v>
      </c>
    </row>
    <row r="58" ht="14.25" customHeight="1">
      <c r="A58" s="6">
        <v>2021.0</v>
      </c>
      <c r="B58" s="11">
        <v>48935.0</v>
      </c>
      <c r="C58" s="12">
        <f t="shared" si="18"/>
        <v>-660</v>
      </c>
      <c r="D58" s="30">
        <f t="shared" si="19"/>
        <v>-0.01330779312</v>
      </c>
      <c r="E58" s="12"/>
      <c r="F58" s="6">
        <v>2021.0</v>
      </c>
      <c r="G58" s="7">
        <v>3599.0</v>
      </c>
      <c r="H58" s="7">
        <f t="shared" si="20"/>
        <v>-46</v>
      </c>
      <c r="I58" s="7"/>
      <c r="J58" s="10"/>
      <c r="K58" s="7">
        <v>2021.0</v>
      </c>
      <c r="L58" s="13">
        <v>0.121</v>
      </c>
      <c r="M58" s="13">
        <v>0.141</v>
      </c>
      <c r="N58" s="13">
        <f t="shared" si="21"/>
        <v>0.003</v>
      </c>
      <c r="O58" s="10"/>
      <c r="P58" s="7">
        <v>2021.0</v>
      </c>
      <c r="Q58" s="11">
        <v>16792.0</v>
      </c>
      <c r="R58" s="12">
        <f t="shared" si="22"/>
        <v>655</v>
      </c>
      <c r="S58" s="8"/>
      <c r="T58" s="6"/>
      <c r="U58" s="6">
        <v>2021.0</v>
      </c>
      <c r="V58" s="7">
        <v>47.9</v>
      </c>
      <c r="W58" s="12">
        <v>13.2</v>
      </c>
      <c r="X58" s="14">
        <v>27.2</v>
      </c>
    </row>
    <row r="59" ht="14.25" customHeight="1">
      <c r="A59" s="6">
        <v>2022.0</v>
      </c>
      <c r="B59" s="11">
        <v>48710.0</v>
      </c>
      <c r="C59" s="12">
        <f t="shared" si="18"/>
        <v>-225</v>
      </c>
      <c r="D59" s="30">
        <f t="shared" si="19"/>
        <v>-0.004597936038</v>
      </c>
      <c r="E59" s="12"/>
      <c r="F59" s="6">
        <v>2022.0</v>
      </c>
      <c r="G59" s="7">
        <v>3571.0</v>
      </c>
      <c r="H59" s="7">
        <f t="shared" si="20"/>
        <v>-28</v>
      </c>
      <c r="I59" s="7"/>
      <c r="J59" s="10"/>
      <c r="K59" s="7">
        <v>2022.0</v>
      </c>
      <c r="L59" s="13">
        <v>0.121</v>
      </c>
      <c r="M59" s="13">
        <v>0.141</v>
      </c>
      <c r="N59" s="13">
        <f t="shared" si="21"/>
        <v>0</v>
      </c>
      <c r="O59" s="10"/>
      <c r="P59" s="7">
        <v>2022.0</v>
      </c>
      <c r="Q59" s="11">
        <v>17817.0</v>
      </c>
      <c r="R59" s="12">
        <f t="shared" si="22"/>
        <v>1025</v>
      </c>
      <c r="S59" s="8"/>
      <c r="T59" s="6"/>
      <c r="U59" s="6">
        <v>2022.0</v>
      </c>
      <c r="V59" s="7">
        <v>47.9</v>
      </c>
      <c r="W59" s="7">
        <v>13.0</v>
      </c>
      <c r="X59" s="8">
        <v>27.3</v>
      </c>
    </row>
    <row r="60" ht="14.25" customHeight="1">
      <c r="A60" s="6">
        <v>2023.0</v>
      </c>
      <c r="B60" s="11">
        <v>49161.0</v>
      </c>
      <c r="C60" s="12">
        <f t="shared" si="18"/>
        <v>451</v>
      </c>
      <c r="D60" s="30">
        <f t="shared" si="19"/>
        <v>0.00925887908</v>
      </c>
      <c r="E60" s="12"/>
      <c r="F60" s="6">
        <v>2023.0</v>
      </c>
      <c r="G60" s="7">
        <v>3539.0</v>
      </c>
      <c r="H60" s="7">
        <f t="shared" si="20"/>
        <v>-32</v>
      </c>
      <c r="I60" s="7"/>
      <c r="J60" s="10"/>
      <c r="K60" s="7">
        <v>2023.0</v>
      </c>
      <c r="L60" s="13">
        <v>0.123</v>
      </c>
      <c r="M60" s="13">
        <v>0.141</v>
      </c>
      <c r="N60" s="13">
        <f t="shared" si="21"/>
        <v>0.002</v>
      </c>
      <c r="O60" s="10"/>
      <c r="P60" s="7">
        <v>2023.0</v>
      </c>
      <c r="Q60" s="11">
        <v>19397.0</v>
      </c>
      <c r="R60" s="12">
        <f t="shared" si="22"/>
        <v>1580</v>
      </c>
      <c r="S60" s="8"/>
      <c r="T60" s="6"/>
      <c r="U60" s="6">
        <v>2023.0</v>
      </c>
      <c r="V60" s="7">
        <v>47.9</v>
      </c>
      <c r="W60" s="7">
        <v>12.9</v>
      </c>
      <c r="X60" s="8">
        <v>27.6</v>
      </c>
    </row>
    <row r="61" ht="14.25" customHeight="1">
      <c r="A61" s="6">
        <v>2024.0</v>
      </c>
      <c r="B61" s="11">
        <v>49773.0</v>
      </c>
      <c r="C61" s="12">
        <f t="shared" si="18"/>
        <v>612</v>
      </c>
      <c r="D61" s="30">
        <f t="shared" si="19"/>
        <v>0.01244889241</v>
      </c>
      <c r="E61" s="7"/>
      <c r="F61" s="6">
        <v>2024.0</v>
      </c>
      <c r="G61" s="7">
        <v>3520.0</v>
      </c>
      <c r="H61" s="7">
        <f t="shared" si="20"/>
        <v>-19</v>
      </c>
      <c r="I61" s="7"/>
      <c r="J61" s="10"/>
      <c r="K61" s="7">
        <v>2024.0</v>
      </c>
      <c r="L61" s="13">
        <v>0.124</v>
      </c>
      <c r="M61" s="13">
        <v>0.142</v>
      </c>
      <c r="N61" s="13">
        <f t="shared" si="21"/>
        <v>0.001</v>
      </c>
      <c r="O61" s="10"/>
      <c r="P61" s="7">
        <v>2024.0</v>
      </c>
      <c r="Q61" s="11">
        <f>_xlfn.FORECAST.LINEAR(P61,Q51:Q60,P51:P60)</f>
        <v>18982.52778</v>
      </c>
      <c r="R61" s="11">
        <f>Q60-Q61</f>
        <v>414.4722222</v>
      </c>
      <c r="S61" s="8"/>
      <c r="T61" s="6"/>
      <c r="U61" s="6">
        <v>2024.0</v>
      </c>
      <c r="V61" s="11">
        <f t="shared" ref="V61:X61" si="23">_xlfn.FORECAST.LINEAR(U61,V51:V60,U51:U60)</f>
        <v>48.10833333</v>
      </c>
      <c r="W61" s="11">
        <f t="shared" si="23"/>
        <v>12.85101351</v>
      </c>
      <c r="X61" s="11">
        <f t="shared" si="23"/>
        <v>27.75666675</v>
      </c>
    </row>
    <row r="62" ht="14.25" customHeight="1">
      <c r="A62" s="17">
        <v>2025.0</v>
      </c>
      <c r="B62" s="19"/>
      <c r="C62" s="19"/>
      <c r="D62" s="20"/>
      <c r="E62" s="21"/>
      <c r="F62" s="17">
        <v>2025.0</v>
      </c>
      <c r="G62" s="22"/>
      <c r="H62" s="22"/>
      <c r="I62" s="22"/>
      <c r="J62" s="25"/>
      <c r="K62" s="21"/>
      <c r="L62" s="21"/>
      <c r="M62" s="21"/>
      <c r="N62" s="21"/>
      <c r="O62" s="25"/>
      <c r="P62" s="21"/>
      <c r="Q62" s="21"/>
      <c r="R62" s="21"/>
      <c r="S62" s="24"/>
      <c r="T62" s="27"/>
      <c r="U62" s="27"/>
      <c r="V62" s="21"/>
      <c r="W62" s="21"/>
      <c r="X62" s="24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mergeCells count="1">
    <mergeCell ref="C33:D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2025-11-26T09:27:12Z</dcterms:created>
  <dc:creator>Adrian Berasategui Axpe</dc:creator>
</cp:coreProperties>
</file>